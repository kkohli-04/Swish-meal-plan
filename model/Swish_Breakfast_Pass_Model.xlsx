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Unit Economics" sheetId="3" state="visible" r:id="rId5"/>
    <sheet name="Scenarios" sheetId="4" state="visible" r:id="rId6"/>
    <sheet name="Pass Size" sheetId="5" state="visible" r:id="rId7"/>
    <sheet name="Sensitivity" sheetId="6" state="visible" r:id="rId8"/>
    <sheet name="Cost Floor" sheetId="7" state="visible" r:id="rId9"/>
    <sheet name="Pilot Power" sheetId="8" state="visible" r:id="rId10"/>
    <sheet name="Facts vs Assumptio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<sst xmlns="http://schemas.openxmlformats.org/spreadsheetml/2006/main" count="241" uniqueCount="232">
  <si>
    <t xml:space="preserve">Swish Routine (weekly pass): illustrative financial model</t>
  </si>
  <si>
    <t xml:space="preserve">Companion to the Swish Routine proposal. Independent candidate work, not an official Swish document.</t>
  </si>
  <si>
    <t xml:space="preserve">The design: a weekly breakfast pass sized above the customer's usual habit. Every meal in the pass costs ₹10 less than the menu price.</t>
  </si>
  <si>
    <t xml:space="preserve">Example: customer usually orders breakfast 3 times a week. Pass = 5 weekday breakfasts at ₹190 instead of ₹200. Pays ₹950 for the week, saves ₹50.</t>
  </si>
  <si>
    <t xml:space="preserve">Unused meals carry over to the next week or are refunded. They are never treated as income.</t>
  </si>
  <si>
    <t xml:space="preserve">Every number in Inputs is an ILLUSTRATIVE ASSUMPTION. None are Swish facts. Swish Finance must supply real costs before any price is approved.</t>
  </si>
  <si>
    <t xml:space="preserve">Colour code: blue = input you can change · black = formula · green = link to another sheet · yellow fill = key assumption to replace with real data · red cell = loses money vs no pass.</t>
  </si>
  <si>
    <t xml:space="preserve">Tabs:</t>
  </si>
  <si>
    <t xml:space="preserve">  Inputs: every assumption plus the derived values (break-even discount, break-even share of lifters, cost floor).</t>
  </si>
  <si>
    <t xml:space="preserve">  Unit Economics: one customer for one week, before vs with the pass, then 1,000 customers per week and per month.</t>
  </si>
  <si>
    <t xml:space="preserve">  Scenarios: what happens when the customer eats 3, 4, 5 or 6 breakfasts, plus customers who should not get the pass.</t>
  </si>
  <si>
    <t xml:space="preserve">  Pass Size: why the pass must be at least 2 meals above the customer's habit.</t>
  </si>
  <si>
    <t xml:space="preserve">  Sensitivity: cost per meal × discount, share of subscribers who really eat more, take-up.</t>
  </si>
  <si>
    <t xml:space="preserve">  Cost Floor: does each eligible basket still earn money at ₹10 off?</t>
  </si>
  <si>
    <t xml:space="preserve">  Pilot Power: how many eligible customers the pilot needs.</t>
  </si>
  <si>
    <t xml:space="preserve">  Facts vs Assumptions: what is publicly sourced and what is assumed.</t>
  </si>
  <si>
    <t xml:space="preserve">Key terms: Sales = revenue recognised when a meal is delivered. Contribution = sales minus variable cost (food, packaging, delivery, payment) before fixed costs.</t>
  </si>
  <si>
    <t xml:space="preserve">Cash paid upfront is NOT profit: Swish still owes the customer the meals until they are delivered.</t>
  </si>
  <si>
    <t xml:space="preserve">Inputs and derived values (₹, per customer per week unless stated)</t>
  </si>
  <si>
    <t xml:space="preserve">Assumption</t>
  </si>
  <si>
    <t xml:space="preserve">Value</t>
  </si>
  <si>
    <t xml:space="preserve">Status / note</t>
  </si>
  <si>
    <t xml:space="preserve">Usual breakfasts per week before the pass (N0)</t>
  </si>
  <si>
    <t xml:space="preserve">Illustrative. ≈13 a month; TechCrunch reports Swish top users order 10+ times a month</t>
  </si>
  <si>
    <t xml:space="preserve">Breakfasts in the weekly pass (N1)</t>
  </si>
  <si>
    <t xml:space="preserve">Rule: pass = usual + 2, capped at 7</t>
  </si>
  <si>
    <t xml:space="preserve">Menu price per eligible basket (₹)</t>
  </si>
  <si>
    <t xml:space="preserve">Illustrative. TechCrunch reports Swish AOV of ₹200–250</t>
  </si>
  <si>
    <t xml:space="preserve">Variable cost per basket: food, packing, delivery, payment (₹)</t>
  </si>
  <si>
    <t xml:space="preserve">ILLUSTRATIVE ONLY. Finance must supply</t>
  </si>
  <si>
    <t xml:space="preserve">Discount per pass meal (₹)</t>
  </si>
  <si>
    <t xml:space="preserve">The customer-facing promise: your usual, ₹10 less every time</t>
  </si>
  <si>
    <t xml:space="preserve">Minimum contribution per discounted basket (₹)</t>
  </si>
  <si>
    <t xml:space="preserve">Placeholder policy. Finance to set</t>
  </si>
  <si>
    <t xml:space="preserve">Weeks per month</t>
  </si>
  <si>
    <t xml:space="preserve">52 ÷ 12</t>
  </si>
  <si>
    <t xml:space="preserve">Cohort size for illustration (subscribers)</t>
  </si>
  <si>
    <t xml:space="preserve">Illustration only</t>
  </si>
  <si>
    <t xml:space="preserve">Share of break-even discount we are willing to give</t>
  </si>
  <si>
    <t xml:space="preserve">Policy: keep at least half of what the extra meals earn</t>
  </si>
  <si>
    <t xml:space="preserve">Derived</t>
  </si>
  <si>
    <t xml:space="preserve">How it is calculated</t>
  </si>
  <si>
    <t xml:space="preserve">Contribution per full-price meal (c)</t>
  </si>
  <si>
    <t xml:space="preserve">Price − variable cost</t>
  </si>
  <si>
    <t xml:space="preserve">Pass price per meal (₹)</t>
  </si>
  <si>
    <t xml:space="preserve">Menu price − discount</t>
  </si>
  <si>
    <t xml:space="preserve">Weekly pass price (₹)</t>
  </si>
  <si>
    <t xml:space="preserve">N1 × pass price per meal</t>
  </si>
  <si>
    <t xml:space="preserve">Customer saving per week (₹)</t>
  </si>
  <si>
    <t xml:space="preserve">N1 × discount, vs buying the same meals one by one</t>
  </si>
  <si>
    <t xml:space="preserve">Saving as % of menu price</t>
  </si>
  <si>
    <t xml:space="preserve">Saving over 4 weeks (₹)</t>
  </si>
  <si>
    <t xml:space="preserve">What the pass shows as 'saved this month' if used every week</t>
  </si>
  <si>
    <t xml:space="preserve">Saving over a year if used every week (₹)</t>
  </si>
  <si>
    <t xml:space="preserve">Only shown to a customer as 'if you keep it up', never as a promise</t>
  </si>
  <si>
    <t xml:space="preserve">Contribution per pass meal (₹)</t>
  </si>
  <si>
    <t xml:space="preserve">Cost-floor test</t>
  </si>
  <si>
    <t xml:space="preserve">Every discounted basket must still earn at least the floor</t>
  </si>
  <si>
    <t xml:space="preserve">Extra breakfasts per week if the customer uses the full pass</t>
  </si>
  <si>
    <t xml:space="preserve">N1 − N0</t>
  </si>
  <si>
    <t xml:space="preserve">Break-even discount per meal (₹)</t>
  </si>
  <si>
    <t xml:space="preserve">c × (N1 − N0) ÷ N1: above this Swish earns less even when the customer uses the full pass</t>
  </si>
  <si>
    <t xml:space="preserve">Recommended maximum discount per meal (₹)</t>
  </si>
  <si>
    <t xml:space="preserve">Policy share × break-even discount</t>
  </si>
  <si>
    <t xml:space="preserve">Discount within policy?</t>
  </si>
  <si>
    <t xml:space="preserve">Gain per customer who uses the full pass (₹/week)</t>
  </si>
  <si>
    <t xml:space="preserve">(N1 − N0) × c − N1 × d</t>
  </si>
  <si>
    <t xml:space="preserve">Cost per customer who doesn't eat more (₹/week)</t>
  </si>
  <si>
    <t xml:space="preserve">Discount given on the N0 meals they would have bought anyway</t>
  </si>
  <si>
    <t xml:space="preserve">Break-even share of subscribers who must eat more</t>
  </si>
  <si>
    <t xml:space="preserve">Below this share, the pass loses money overall</t>
  </si>
  <si>
    <t xml:space="preserve">Break-even variable cost at this discount (₹)</t>
  </si>
  <si>
    <t xml:space="preserve">Above this cost, even a full-pass customer loses money</t>
  </si>
  <si>
    <t xml:space="preserve">Customer's weekly spend before (₹)</t>
  </si>
  <si>
    <t xml:space="preserve">Customer's weekly spend with the pass (₹)</t>
  </si>
  <si>
    <t xml:space="preserve">Effective price of each EXTRA breakfast to the customer (₹)</t>
  </si>
  <si>
    <t xml:space="preserve">How the extra meals feel in money terms</t>
  </si>
  <si>
    <t xml:space="preserve">One customer, one week: before vs with a 5-breakfast pass that is fully used</t>
  </si>
  <si>
    <t xml:space="preserve">Line (₹ per customer per week)</t>
  </si>
  <si>
    <t xml:space="preserve">Before: pays per order</t>
  </si>
  <si>
    <t xml:space="preserve">With weekly pass</t>
  </si>
  <si>
    <t xml:space="preserve">Change</t>
  </si>
  <si>
    <t xml:space="preserve">Note</t>
  </si>
  <si>
    <t xml:space="preserve">Breakfasts</t>
  </si>
  <si>
    <t xml:space="preserve">Price per breakfast</t>
  </si>
  <si>
    <t xml:space="preserve">₹10 off every pass meal</t>
  </si>
  <si>
    <t xml:space="preserve">Sales</t>
  </si>
  <si>
    <t xml:space="preserve">Recognised when each meal is delivered</t>
  </si>
  <si>
    <t xml:space="preserve">Variable cost</t>
  </si>
  <si>
    <t xml:space="preserve">Illustrative cost per basket</t>
  </si>
  <si>
    <t xml:space="preserve">Contribution before fixed costs</t>
  </si>
  <si>
    <t xml:space="preserve">Not profit: kitchens, tech, people and marketing are still to come</t>
  </si>
  <si>
    <t xml:space="preserve">Contribution per breakfast</t>
  </si>
  <si>
    <t xml:space="preserve">Cash received upfront</t>
  </si>
  <si>
    <t xml:space="preserve">Cash timing only</t>
  </si>
  <si>
    <t xml:space="preserve">Meals owed to the customer at the start of the week</t>
  </si>
  <si>
    <t xml:space="preserve">A liability until delivered</t>
  </si>
  <si>
    <t xml:space="preserve">Formula check</t>
  </si>
  <si>
    <t xml:space="preserve">Gain = (N1 − N0) × c − N1 × d</t>
  </si>
  <si>
    <t xml:space="preserve">Difference vs table (should be zero)</t>
  </si>
  <si>
    <t xml:space="preserve">What the customer sees</t>
  </si>
  <si>
    <t xml:space="preserve">Your usual breakfast</t>
  </si>
  <si>
    <t xml:space="preserve">₹190 instead of ₹200, every time</t>
  </si>
  <si>
    <t xml:space="preserve">You save this week</t>
  </si>
  <si>
    <t xml:space="preserve">5 × ₹10</t>
  </si>
  <si>
    <t xml:space="preserve">Saved over 4 weeks if used every week</t>
  </si>
  <si>
    <t xml:space="preserve">Extra spend vs your old 3-breakfast week</t>
  </si>
  <si>
    <t xml:space="preserve">Shown honestly: you spend more because you get 2 more breakfasts</t>
  </si>
  <si>
    <t xml:space="preserve">Effective price of each extra breakfast</t>
  </si>
  <si>
    <t xml:space="preserve">1,000 subscribers who all use the full pass</t>
  </si>
  <si>
    <t xml:space="preserve">Line (₹)</t>
  </si>
  <si>
    <t xml:space="preserve">Per week</t>
  </si>
  <si>
    <t xml:space="preserve">Per month (× 4.33)</t>
  </si>
  <si>
    <t xml:space="preserve">Extra contribution</t>
  </si>
  <si>
    <t xml:space="preserve">Best case: assumes every subscriber eats 2 more breakfasts. See Sensitivity for realistic mixes.</t>
  </si>
  <si>
    <t xml:space="preserve">Total cash, not change. It is owed back as meals.</t>
  </si>
  <si>
    <t xml:space="preserve">Scenarios: one customer, one week (₹)</t>
  </si>
  <si>
    <t xml:space="preserve">Line</t>
  </si>
  <si>
    <t xml:space="preserve">A. Buys 5-pass, eats 3 (no change)</t>
  </si>
  <si>
    <t xml:space="preserve">B. Buys 5-pass, eats 4</t>
  </si>
  <si>
    <t xml:space="preserve">C. Buys 5-pass, eats 5</t>
  </si>
  <si>
    <t xml:space="preserve">D. Eats 5 + 1 extra at full price</t>
  </si>
  <si>
    <t xml:space="preserve">E. Already eats 5, offered 5-pass (should be excluded)</t>
  </si>
  <si>
    <t xml:space="preserve">F. Already eats 5, offered 7-day pass, eats 7</t>
  </si>
  <si>
    <t xml:space="preserve">G. Already eats 5, 7-day pass, stays at 5</t>
  </si>
  <si>
    <t xml:space="preserve">Pass size (breakfasts)</t>
  </si>
  <si>
    <t xml:space="preserve">Breakfasts actually eaten this week</t>
  </si>
  <si>
    <t xml:space="preserve">Breakfasts without the pass (baseline)</t>
  </si>
  <si>
    <t xml:space="preserve">Per customer</t>
  </si>
  <si>
    <t xml:space="preserve">Pass meals used</t>
  </si>
  <si>
    <t xml:space="preserve">Extra meals bought at full price</t>
  </si>
  <si>
    <t xml:space="preserve">Sales recognised this week</t>
  </si>
  <si>
    <t xml:space="preserve">Discount given (₹10 × pass meals used)</t>
  </si>
  <si>
    <t xml:space="preserve">Contribution</t>
  </si>
  <si>
    <t xml:space="preserve">Contribution without the pass</t>
  </si>
  <si>
    <t xml:space="preserve">EXTRA CONTRIBUTION vs no pass</t>
  </si>
  <si>
    <t xml:space="preserve">Cash paid upfront</t>
  </si>
  <si>
    <t xml:space="preserve">Unused pass meals carried over (still owed)</t>
  </si>
  <si>
    <t xml:space="preserve">1,000 subscribers: extra contribution per week</t>
  </si>
  <si>
    <t xml:space="preserve">1,000 subscribers: extra contribution per month</t>
  </si>
  <si>
    <t xml:space="preserve">How to read this:</t>
  </si>
  <si>
    <t xml:space="preserve">A: the customer buys the pass but keeps their old habit. Swish gives ₹10 off 3 meals it would have sold anyway: −₹30. Two meals carry over.</t>
  </si>
  <si>
    <t xml:space="preserve">B and C: each extra breakfast earns ₹40 after the discount. Using the full pass earns +₹50 a week.</t>
  </si>
  <si>
    <t xml:space="preserve">E: the pass must sit above the customer's habit. Offering a 5-pass to someone already eating 5 just costs ₹50 a week.</t>
  </si>
  <si>
    <t xml:space="preserve">F and G: heavy users get a 7-day pass instead. It pays if they add weekends, and costs ₹50 if they don't.</t>
  </si>
  <si>
    <t xml:space="preserve">Unused meals are never booked as income. Doing so would make A look profitable, which would be false.</t>
  </si>
  <si>
    <t xml:space="preserve">Why the pass must be at least 2 meals above the customer's habit (₹10 off, ₹150 cost)</t>
  </si>
  <si>
    <t xml:space="preserve">Extra contribution per week for a customer who uses the full pass. Rows: usual breakfasts a week. Columns: pass size. Red = loses money even when fully used.</t>
  </si>
  <si>
    <t xml:space="preserve">Usual per week ↓ / Pass size →</t>
  </si>
  <si>
    <t xml:space="preserve">Rule used in the proposal: pass size = usual + 2, capped at 7. A pass only 1 meal above habit barely pays, and one at or below habit is never offered.</t>
  </si>
  <si>
    <t xml:space="preserve">Sensitivity: how robust is the weekly pass? (₹ per subscriber per week). Not a forecast.</t>
  </si>
  <si>
    <t xml:space="preserve">Table 1: extra contribution for a customer who uses the full pass. Rows: variable cost per basket. Columns: discount per meal.</t>
  </si>
  <si>
    <t xml:space="preserve">Variable cost ↓ / Discount per meal →</t>
  </si>
  <si>
    <t xml:space="preserve">Table 2: expected extra contribution per subscriber when only some use the full pass and the rest keep their old habit (₹10 off).</t>
  </si>
  <si>
    <t xml:space="preserve">Variable cost ↓ / Share who eat more →</t>
  </si>
  <si>
    <t xml:space="preserve">Table 3: break-even share of subscribers who must eat more. Rows: discount per meal. Columns: variable cost. 'never' = loses money even if everyone eats more.</t>
  </si>
  <si>
    <t xml:space="preserve">Discount per meal ↓ / Variable cost →</t>
  </si>
  <si>
    <t xml:space="preserve">Table 4: 1,000 ELIGIBLE customers, extra contribution per month (₹). Rows: share who buy the pass. Columns: share of buyers who eat more.</t>
  </si>
  <si>
    <t xml:space="preserve">Take-up ↓ / Share of buyers who eat more →</t>
  </si>
  <si>
    <t xml:space="preserve">Cost floor: every discounted basket must still earn at least the floor after ₹10 off</t>
  </si>
  <si>
    <t xml:space="preserve">Baskets are INVENTED for illustration. Real list, prices and costs must come from Swish Finance and Operations.</t>
  </si>
  <si>
    <t xml:space="preserve">Discount per meal (₹)</t>
  </si>
  <si>
    <t xml:space="preserve">Minimum contribution (₹)</t>
  </si>
  <si>
    <t xml:space="preserve">Illustrative basket</t>
  </si>
  <si>
    <t xml:space="preserve">Menu price (₹)</t>
  </si>
  <si>
    <t xml:space="preserve">Variable cost (₹)</t>
  </si>
  <si>
    <t xml:space="preserve">Contribution at menu price (₹)</t>
  </si>
  <si>
    <t xml:space="preserve">Pass price (₹)</t>
  </si>
  <si>
    <t xml:space="preserve">Contribution at pass price (₹)</t>
  </si>
  <si>
    <t xml:space="preserve">Floor test</t>
  </si>
  <si>
    <t xml:space="preserve">In the pass?</t>
  </si>
  <si>
    <t xml:space="preserve">Cold coffee + poha</t>
  </si>
  <si>
    <t xml:space="preserve">Masala chai + veg sandwich</t>
  </si>
  <si>
    <t xml:space="preserve">Mini idli + filter coffee</t>
  </si>
  <si>
    <t xml:space="preserve">Rice bowl + cold drink</t>
  </si>
  <si>
    <t xml:space="preserve">Paneer wrap + coffee</t>
  </si>
  <si>
    <t xml:space="preserve">Pilot sizing: eligible customers per group to detect the change in weekly orders</t>
  </si>
  <si>
    <t xml:space="preserve">All inputs are placeholders for Swish's data team. The outcome measured is breakfasts per customer per week, averaged over the 6-week test.</t>
  </si>
  <si>
    <t xml:space="preserve">Std deviation of a customer's weekly breakfasts, averaged over 6 weeks (assumed)</t>
  </si>
  <si>
    <t xml:space="preserve">Share of variance explained by pre-period orders (R², assumed)</t>
  </si>
  <si>
    <t xml:space="preserve">Effective std deviation after adjustment</t>
  </si>
  <si>
    <t xml:space="preserve">z for 5% two-sided significance</t>
  </si>
  <si>
    <t xml:space="preserve">z for 80% power</t>
  </si>
  <si>
    <t xml:space="preserve">Share of offered customers who buy the pass (assumed)</t>
  </si>
  <si>
    <t xml:space="preserve">Share of buyers who eat more (assumed)</t>
  </si>
  <si>
    <t xml:space="preserve">Extra breakfasts per week for those who eat more</t>
  </si>
  <si>
    <t xml:space="preserve">Expected change per OFFERED customer (breakfasts/week)</t>
  </si>
  <si>
    <t xml:space="preserve">Eligible customers needed per group</t>
  </si>
  <si>
    <t xml:space="preserve">Total for two groups (holdout + pass)</t>
  </si>
  <si>
    <t xml:space="preserve">Smallest detectable change by group size</t>
  </si>
  <si>
    <t xml:space="preserve">Eligible customers per group</t>
  </si>
  <si>
    <t xml:space="preserve">Detectable change (breakfasts/week per offered customer)</t>
  </si>
  <si>
    <t xml:space="preserve">As % of expected change</t>
  </si>
  <si>
    <t xml:space="preserve">Below 100% = the group is big enough to see the expected effect. Judge the pilot on this holdout comparison, never on sign-ups or prepaid cash.</t>
  </si>
  <si>
    <t xml:space="preserve">What is publicly sourced vs assumed</t>
  </si>
  <si>
    <t xml:space="preserve">Item</t>
  </si>
  <si>
    <t xml:space="preserve">Status</t>
  </si>
  <si>
    <t xml:space="preserve">Detail</t>
  </si>
  <si>
    <t xml:space="preserve">Source / owner</t>
  </si>
  <si>
    <t xml:space="preserve">Swish owns kitchens, sourcing and delivery</t>
  </si>
  <si>
    <t xml:space="preserve">Verified (company claim)</t>
  </si>
  <si>
    <t xml:space="preserve">No third-party restaurants</t>
  </si>
  <si>
    <t xml:space="preserve">justswish.in</t>
  </si>
  <si>
    <t xml:space="preserve">~20,000 orders/day (Mar 2026); AOV ₹200–250; top users &gt;10 orders/month</t>
  </si>
  <si>
    <t xml:space="preserve">Verified (reported)</t>
  </si>
  <si>
    <t xml:space="preserve">From CEO interview</t>
  </si>
  <si>
    <t xml:space="preserve">TechCrunch, 23 Mar 2026</t>
  </si>
  <si>
    <t xml:space="preserve">Monthly orders &gt;1 million, tripled since March; lunch and dinner now largest occasions</t>
  </si>
  <si>
    <t xml:space="preserve">With $24M round</t>
  </si>
  <si>
    <t xml:space="preserve">Entrepreneur India, 11 Sep 2026</t>
  </si>
  <si>
    <t xml:space="preserve">App has a 'Swish wallet' for referral credit; 50% off first order + free cold coffee</t>
  </si>
  <si>
    <t xml:space="preserve">Observed</t>
  </si>
  <si>
    <t xml:space="preserve">Play Store screenshots, viewed 25 Oct 2026</t>
  </si>
  <si>
    <t xml:space="preserve">Google Play listing</t>
  </si>
  <si>
    <t xml:space="preserve">India bans 13 named dark patterns incl. false urgency, subscription trap, confirm shaming, drip pricing</t>
  </si>
  <si>
    <t xml:space="preserve">Verified (secondary)</t>
  </si>
  <si>
    <t xml:space="preserve">CCPA Guidelines notified 30 Nov 2023</t>
  </si>
  <si>
    <t xml:space="preserve">JSA law firm summary</t>
  </si>
  <si>
    <t xml:space="preserve">Recurring auto-debits need a pre-debit alert ≥24h before; mandates can be cancelled any time; ≤₹15,000 without OTP</t>
  </si>
  <si>
    <t xml:space="preserve">RBI e-mandate framework; check the RBI circular before launch</t>
  </si>
  <si>
    <t xml:space="preserve">Outlook Business summary</t>
  </si>
  <si>
    <t xml:space="preserve">Who funds Zomato's subscription discounts</t>
  </si>
  <si>
    <t xml:space="preserve">NOT KNOWN</t>
  </si>
  <si>
    <t xml:space="preserve">Not assumed</t>
  </si>
  <si>
    <t xml:space="preserve">—</t>
  </si>
  <si>
    <t xml:space="preserve">₹200 basket, ₹150 cost, 3 → 5 breakfasts a week, ₹10 off</t>
  </si>
  <si>
    <t xml:space="preserve">ASSUMPTION</t>
  </si>
  <si>
    <t xml:space="preserve">Illustrative</t>
  </si>
  <si>
    <t xml:space="preserve">Swish Finance must replace</t>
  </si>
  <si>
    <t xml:space="preserve">Take-up, share who eat more, order variance</t>
  </si>
  <si>
    <t xml:space="preserve">Placeholders for pilot design</t>
  </si>
  <si>
    <t xml:space="preserve">Swish data team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</si>
</sst>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\₹#,##0;&quot;(₹&quot;#,##0\);\-"/>
    <numFmt numFmtId="167" formatCode="#,##0.0;\(#,##0.0\);\-"/>
    <numFmt numFmtId="168" formatCode="0%"/>
    <numFmt numFmtId="169" formatCode="0.0%;\(0.0%\);\-"/>
    <numFmt numFmtId="170" formatCode="\₹#,##0.0;&quot;(₹&quot;#,##0.0\);\-"/>
    <numFmt numFmtId="171" formatCode="0.00"/>
    <numFmt numFmtId="172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37A37"/>
      <name val="Arial"/>
      <family val="0"/>
      <charset val="1"/>
    </font>
    <font>
      <i val="true"/>
      <sz val="10"/>
      <color rgb="FF137A37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9E4A"/>
        <bgColor rgb="FF137A37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C7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37A37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9E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6"/>
    <col collapsed="false" customWidth="true" hidden="false" outlineLevel="0" max="3" min="3" style="0" width="96"/>
  </cols>
  <sheetData>
    <row r="1" customFormat="false" ht="17.35" hidden="false" customHeight="false" outlineLevel="0" collapsed="false">
      <c r="A1" s="1" t="s">
        <v>18</v>
      </c>
    </row>
    <row r="3" customFormat="false" ht="15" hidden="false" customHeight="false" outlineLevel="0" collapsed="false">
      <c r="A3" s="4" t="s">
        <v>19</v>
      </c>
      <c r="B3" s="5" t="s">
        <v>20</v>
      </c>
      <c r="C3" s="5" t="s">
        <v>21</v>
      </c>
    </row>
    <row r="4" customFormat="false" ht="15" hidden="false" customHeight="false" outlineLevel="0" collapsed="false">
      <c r="A4" s="3" t="s">
        <v>22</v>
      </c>
      <c r="B4" s="6" t="n">
        <v>3</v>
      </c>
      <c r="C4" s="3" t="s">
        <v>23</v>
      </c>
    </row>
    <row r="5" customFormat="false" ht="15" hidden="false" customHeight="false" outlineLevel="0" collapsed="false">
      <c r="A5" s="3" t="s">
        <v>24</v>
      </c>
      <c r="B5" s="6" t="n">
        <v>5</v>
      </c>
      <c r="C5" s="3" t="s">
        <v>25</v>
      </c>
    </row>
    <row r="6" customFormat="false" ht="15" hidden="false" customHeight="false" outlineLevel="0" collapsed="false">
      <c r="A6" s="3" t="s">
        <v>26</v>
      </c>
      <c r="B6" s="7" t="n">
        <v>200</v>
      </c>
      <c r="C6" s="3" t="s">
        <v>27</v>
      </c>
    </row>
    <row r="7" customFormat="false" ht="15" hidden="false" customHeight="false" outlineLevel="0" collapsed="false">
      <c r="A7" s="3" t="s">
        <v>28</v>
      </c>
      <c r="B7" s="7" t="n">
        <v>150</v>
      </c>
      <c r="C7" s="3" t="s">
        <v>29</v>
      </c>
    </row>
    <row r="8" customFormat="false" ht="15" hidden="false" customHeight="false" outlineLevel="0" collapsed="false">
      <c r="A8" s="3" t="s">
        <v>30</v>
      </c>
      <c r="B8" s="7" t="n">
        <v>10</v>
      </c>
      <c r="C8" s="3" t="s">
        <v>31</v>
      </c>
    </row>
    <row r="9" customFormat="false" ht="15" hidden="false" customHeight="false" outlineLevel="0" collapsed="false">
      <c r="A9" s="3" t="s">
        <v>32</v>
      </c>
      <c r="B9" s="8" t="n">
        <v>30</v>
      </c>
      <c r="C9" s="3" t="s">
        <v>33</v>
      </c>
    </row>
    <row r="10" customFormat="false" ht="15" hidden="false" customHeight="false" outlineLevel="0" collapsed="false">
      <c r="A10" s="3" t="s">
        <v>34</v>
      </c>
      <c r="B10" s="9" t="n">
        <v>4.33</v>
      </c>
      <c r="C10" s="3" t="s">
        <v>35</v>
      </c>
    </row>
    <row r="11" customFormat="false" ht="15" hidden="false" customHeight="false" outlineLevel="0" collapsed="false">
      <c r="A11" s="3" t="s">
        <v>36</v>
      </c>
      <c r="B11" s="10" t="n">
        <v>1000</v>
      </c>
      <c r="C11" s="3" t="s">
        <v>37</v>
      </c>
    </row>
    <row r="12" customFormat="false" ht="15" hidden="false" customHeight="false" outlineLevel="0" collapsed="false">
      <c r="A12" s="3" t="s">
        <v>38</v>
      </c>
      <c r="B12" s="11" t="n">
        <v>0.5</v>
      </c>
      <c r="C12" s="3" t="s">
        <v>39</v>
      </c>
    </row>
    <row r="14" customFormat="false" ht="15" hidden="false" customHeight="false" outlineLevel="0" collapsed="false">
      <c r="A14" s="4" t="s">
        <v>40</v>
      </c>
      <c r="B14" s="5" t="s">
        <v>20</v>
      </c>
      <c r="C14" s="5" t="s">
        <v>41</v>
      </c>
    </row>
    <row r="15" customFormat="false" ht="15" hidden="false" customHeight="false" outlineLevel="0" collapsed="false">
      <c r="A15" s="3" t="s">
        <v>42</v>
      </c>
      <c r="B15" s="12" t="n">
        <f aca="false">B6-B7</f>
        <v>50</v>
      </c>
      <c r="C15" s="3" t="s">
        <v>43</v>
      </c>
    </row>
    <row r="16" customFormat="false" ht="15" hidden="false" customHeight="false" outlineLevel="0" collapsed="false">
      <c r="A16" s="3" t="s">
        <v>44</v>
      </c>
      <c r="B16" s="12" t="n">
        <f aca="false">B6-B8</f>
        <v>190</v>
      </c>
      <c r="C16" s="3" t="s">
        <v>45</v>
      </c>
    </row>
    <row r="17" customFormat="false" ht="15" hidden="false" customHeight="false" outlineLevel="0" collapsed="false">
      <c r="A17" s="3" t="s">
        <v>46</v>
      </c>
      <c r="B17" s="12" t="n">
        <f aca="false">B5*B16</f>
        <v>950</v>
      </c>
      <c r="C17" s="3" t="s">
        <v>47</v>
      </c>
    </row>
    <row r="18" customFormat="false" ht="15" hidden="false" customHeight="false" outlineLevel="0" collapsed="false">
      <c r="A18" s="3" t="s">
        <v>48</v>
      </c>
      <c r="B18" s="12" t="n">
        <f aca="false">B5*B8</f>
        <v>50</v>
      </c>
      <c r="C18" s="3" t="s">
        <v>49</v>
      </c>
    </row>
    <row r="19" customFormat="false" ht="15" hidden="false" customHeight="false" outlineLevel="0" collapsed="false">
      <c r="A19" s="3" t="s">
        <v>50</v>
      </c>
      <c r="B19" s="13" t="n">
        <f aca="false">B8/B6</f>
        <v>0.05</v>
      </c>
      <c r="C19" s="3"/>
    </row>
    <row r="20" customFormat="false" ht="15" hidden="false" customHeight="false" outlineLevel="0" collapsed="false">
      <c r="A20" s="3" t="s">
        <v>51</v>
      </c>
      <c r="B20" s="12" t="n">
        <f aca="false">B18*4</f>
        <v>200</v>
      </c>
      <c r="C20" s="3" t="s">
        <v>52</v>
      </c>
    </row>
    <row r="21" customFormat="false" ht="15" hidden="false" customHeight="false" outlineLevel="0" collapsed="false">
      <c r="A21" s="3" t="s">
        <v>53</v>
      </c>
      <c r="B21" s="12" t="n">
        <f aca="false">B18*52</f>
        <v>2600</v>
      </c>
      <c r="C21" s="3" t="s">
        <v>54</v>
      </c>
    </row>
    <row r="22" customFormat="false" ht="15" hidden="false" customHeight="false" outlineLevel="0" collapsed="false">
      <c r="A22" s="3" t="s">
        <v>55</v>
      </c>
      <c r="B22" s="12" t="n">
        <f aca="false">B16-B7</f>
        <v>40</v>
      </c>
      <c r="C22" s="3"/>
    </row>
    <row r="23" customFormat="false" ht="15" hidden="false" customHeight="false" outlineLevel="0" collapsed="false">
      <c r="A23" s="3" t="s">
        <v>56</v>
      </c>
      <c r="B23" s="3" t="str">
        <f aca="false">IF(B22&gt;=B9,"PASS","FAIL")</f>
        <v>PASS</v>
      </c>
      <c r="C23" s="3" t="s">
        <v>57</v>
      </c>
    </row>
    <row r="24" customFormat="false" ht="15" hidden="false" customHeight="false" outlineLevel="0" collapsed="false">
      <c r="A24" s="3" t="s">
        <v>58</v>
      </c>
      <c r="B24" s="14" t="n">
        <f aca="false">B5-B4</f>
        <v>2</v>
      </c>
      <c r="C24" s="3" t="s">
        <v>59</v>
      </c>
    </row>
    <row r="25" customFormat="false" ht="15" hidden="false" customHeight="false" outlineLevel="0" collapsed="false">
      <c r="A25" s="3" t="s">
        <v>60</v>
      </c>
      <c r="B25" s="15" t="n">
        <f aca="false">B15*B24/B5</f>
        <v>20</v>
      </c>
      <c r="C25" s="3" t="s">
        <v>61</v>
      </c>
    </row>
    <row r="26" customFormat="false" ht="15" hidden="false" customHeight="false" outlineLevel="0" collapsed="false">
      <c r="A26" s="3" t="s">
        <v>62</v>
      </c>
      <c r="B26" s="15" t="n">
        <f aca="false">B12*B25</f>
        <v>10</v>
      </c>
      <c r="C26" s="3" t="s">
        <v>63</v>
      </c>
    </row>
    <row r="27" customFormat="false" ht="15" hidden="false" customHeight="false" outlineLevel="0" collapsed="false">
      <c r="A27" s="3" t="s">
        <v>64</v>
      </c>
      <c r="B27" s="3" t="str">
        <f aca="false">IF(B8&lt;=B26,"YES","NO")</f>
        <v>YES</v>
      </c>
      <c r="C27" s="3"/>
    </row>
    <row r="28" customFormat="false" ht="15" hidden="false" customHeight="false" outlineLevel="0" collapsed="false">
      <c r="A28" s="3" t="s">
        <v>65</v>
      </c>
      <c r="B28" s="15" t="n">
        <f aca="false">B24*B15-B5*B8</f>
        <v>50</v>
      </c>
      <c r="C28" s="3" t="s">
        <v>66</v>
      </c>
    </row>
    <row r="29" customFormat="false" ht="15" hidden="false" customHeight="false" outlineLevel="0" collapsed="false">
      <c r="A29" s="3" t="s">
        <v>67</v>
      </c>
      <c r="B29" s="15" t="n">
        <f aca="false">-B4*B8</f>
        <v>-30</v>
      </c>
      <c r="C29" s="3" t="s">
        <v>68</v>
      </c>
    </row>
    <row r="30" customFormat="false" ht="15" hidden="false" customHeight="false" outlineLevel="0" collapsed="false">
      <c r="A30" s="3" t="s">
        <v>69</v>
      </c>
      <c r="B30" s="13" t="n">
        <f aca="false">-B29/(B28-B29)</f>
        <v>0.375</v>
      </c>
      <c r="C30" s="3" t="s">
        <v>70</v>
      </c>
    </row>
    <row r="31" customFormat="false" ht="15" hidden="false" customHeight="false" outlineLevel="0" collapsed="false">
      <c r="A31" s="3" t="s">
        <v>71</v>
      </c>
      <c r="B31" s="15" t="n">
        <f aca="false">B6-B5*B8/B24</f>
        <v>175</v>
      </c>
      <c r="C31" s="3" t="s">
        <v>72</v>
      </c>
    </row>
    <row r="32" customFormat="false" ht="15" hidden="false" customHeight="false" outlineLevel="0" collapsed="false">
      <c r="A32" s="3" t="s">
        <v>73</v>
      </c>
      <c r="B32" s="12" t="n">
        <f aca="false">B4*B6</f>
        <v>600</v>
      </c>
      <c r="C32" s="3"/>
    </row>
    <row r="33" customFormat="false" ht="15" hidden="false" customHeight="false" outlineLevel="0" collapsed="false">
      <c r="A33" s="3" t="s">
        <v>74</v>
      </c>
      <c r="B33" s="12" t="n">
        <f aca="false">B17</f>
        <v>950</v>
      </c>
      <c r="C33" s="3"/>
    </row>
    <row r="34" customFormat="false" ht="15" hidden="false" customHeight="false" outlineLevel="0" collapsed="false">
      <c r="A34" s="3" t="s">
        <v>75</v>
      </c>
      <c r="B34" s="15" t="n">
        <f aca="false">(B33-B32)/B24</f>
        <v>175</v>
      </c>
      <c r="C34" s="3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77</v>
      </c>
    </row>
    <row r="3" customFormat="false" ht="15" hidden="false" customHeight="false" outlineLevel="0" collapsed="false">
      <c r="A3" s="4" t="s">
        <v>78</v>
      </c>
      <c r="B3" s="5" t="s">
        <v>79</v>
      </c>
      <c r="C3" s="5" t="s">
        <v>80</v>
      </c>
      <c r="D3" s="5" t="s">
        <v>81</v>
      </c>
      <c r="E3" s="5" t="s">
        <v>82</v>
      </c>
    </row>
    <row r="4" customFormat="false" ht="15" hidden="false" customHeight="false" outlineLevel="0" collapsed="false">
      <c r="A4" s="3" t="s">
        <v>83</v>
      </c>
      <c r="B4" s="14" t="n">
        <f aca="false">Inputs!B4</f>
        <v>3</v>
      </c>
      <c r="C4" s="14" t="n">
        <f aca="false">Inputs!B5</f>
        <v>5</v>
      </c>
      <c r="D4" s="14" t="n">
        <f aca="false">C4-B4</f>
        <v>2</v>
      </c>
      <c r="E4" s="3"/>
    </row>
    <row r="5" customFormat="false" ht="15" hidden="false" customHeight="false" outlineLevel="0" collapsed="false">
      <c r="A5" s="3" t="s">
        <v>84</v>
      </c>
      <c r="B5" s="12" t="n">
        <f aca="false">Inputs!B6</f>
        <v>200</v>
      </c>
      <c r="C5" s="12" t="n">
        <f aca="false">Inputs!B16</f>
        <v>190</v>
      </c>
      <c r="D5" s="12" t="n">
        <f aca="false">C5-B5</f>
        <v>-10</v>
      </c>
      <c r="E5" s="3" t="s">
        <v>85</v>
      </c>
    </row>
    <row r="6" customFormat="false" ht="15" hidden="false" customHeight="false" outlineLevel="0" collapsed="false">
      <c r="A6" s="3" t="s">
        <v>86</v>
      </c>
      <c r="B6" s="12" t="n">
        <f aca="false">B4*B5</f>
        <v>600</v>
      </c>
      <c r="C6" s="12" t="n">
        <f aca="false">C4*C5</f>
        <v>950</v>
      </c>
      <c r="D6" s="12" t="n">
        <f aca="false">C6-B6</f>
        <v>350</v>
      </c>
      <c r="E6" s="3" t="s">
        <v>87</v>
      </c>
    </row>
    <row r="7" customFormat="false" ht="15" hidden="false" customHeight="false" outlineLevel="0" collapsed="false">
      <c r="A7" s="3" t="s">
        <v>88</v>
      </c>
      <c r="B7" s="12" t="n">
        <f aca="false">B4*Inputs!B7</f>
        <v>450</v>
      </c>
      <c r="C7" s="12" t="n">
        <f aca="false">C4*Inputs!B7</f>
        <v>750</v>
      </c>
      <c r="D7" s="12" t="n">
        <f aca="false">C7-B7</f>
        <v>300</v>
      </c>
      <c r="E7" s="3" t="s">
        <v>89</v>
      </c>
    </row>
    <row r="8" customFormat="false" ht="15" hidden="false" customHeight="false" outlineLevel="0" collapsed="false">
      <c r="A8" s="16" t="s">
        <v>90</v>
      </c>
      <c r="B8" s="12" t="n">
        <f aca="false">B6-B7</f>
        <v>150</v>
      </c>
      <c r="C8" s="12" t="n">
        <f aca="false">C6-C7</f>
        <v>200</v>
      </c>
      <c r="D8" s="12" t="n">
        <f aca="false">C8-B8</f>
        <v>50</v>
      </c>
      <c r="E8" s="3" t="s">
        <v>91</v>
      </c>
    </row>
    <row r="9" customFormat="false" ht="15" hidden="false" customHeight="false" outlineLevel="0" collapsed="false">
      <c r="A9" s="3" t="s">
        <v>92</v>
      </c>
      <c r="B9" s="15" t="n">
        <f aca="false">B8/B4</f>
        <v>50</v>
      </c>
      <c r="C9" s="15" t="n">
        <f aca="false">C8/C4</f>
        <v>40</v>
      </c>
      <c r="D9" s="15" t="n">
        <f aca="false">C9-B9</f>
        <v>-10</v>
      </c>
      <c r="E9" s="3"/>
    </row>
    <row r="10" customFormat="false" ht="15" hidden="false" customHeight="false" outlineLevel="0" collapsed="false">
      <c r="A10" s="3" t="s">
        <v>93</v>
      </c>
      <c r="B10" s="8" t="n">
        <v>0</v>
      </c>
      <c r="C10" s="12" t="n">
        <f aca="false">Inputs!B17</f>
        <v>950</v>
      </c>
      <c r="D10" s="12" t="n">
        <f aca="false">C10-B10</f>
        <v>950</v>
      </c>
      <c r="E10" s="3" t="s">
        <v>94</v>
      </c>
    </row>
    <row r="11" customFormat="false" ht="15" hidden="false" customHeight="false" outlineLevel="0" collapsed="false">
      <c r="A11" s="3" t="s">
        <v>95</v>
      </c>
      <c r="B11" s="8" t="n">
        <v>0</v>
      </c>
      <c r="C11" s="12" t="n">
        <f aca="false">Inputs!B17</f>
        <v>950</v>
      </c>
      <c r="D11" s="12" t="n">
        <f aca="false">C11-B11</f>
        <v>950</v>
      </c>
      <c r="E11" s="3" t="s">
        <v>96</v>
      </c>
    </row>
    <row r="13" customFormat="false" ht="15" hidden="false" customHeight="false" outlineLevel="0" collapsed="false">
      <c r="A13" s="16" t="s">
        <v>97</v>
      </c>
    </row>
    <row r="14" customFormat="false" ht="15" hidden="false" customHeight="false" outlineLevel="0" collapsed="false">
      <c r="A14" s="3" t="s">
        <v>98</v>
      </c>
      <c r="B14" s="17" t="n">
        <f aca="false">Inputs!B28</f>
        <v>50</v>
      </c>
    </row>
    <row r="15" customFormat="false" ht="15" hidden="false" customHeight="false" outlineLevel="0" collapsed="false">
      <c r="A15" s="3" t="s">
        <v>99</v>
      </c>
      <c r="B15" s="15" t="n">
        <f aca="false">D8-B14</f>
        <v>0</v>
      </c>
    </row>
    <row r="17" customFormat="false" ht="15" hidden="false" customHeight="false" outlineLevel="0" collapsed="false">
      <c r="A17" s="16" t="s">
        <v>100</v>
      </c>
    </row>
    <row r="18" customFormat="false" ht="15" hidden="false" customHeight="false" outlineLevel="0" collapsed="false">
      <c r="A18" s="3" t="s">
        <v>101</v>
      </c>
      <c r="B18" s="12" t="n">
        <f aca="false">Inputs!B16</f>
        <v>190</v>
      </c>
      <c r="C18" s="3" t="s">
        <v>102</v>
      </c>
    </row>
    <row r="19" customFormat="false" ht="15" hidden="false" customHeight="false" outlineLevel="0" collapsed="false">
      <c r="A19" s="3" t="s">
        <v>103</v>
      </c>
      <c r="B19" s="12" t="n">
        <f aca="false">Inputs!B18</f>
        <v>50</v>
      </c>
      <c r="C19" s="3" t="s">
        <v>104</v>
      </c>
    </row>
    <row r="20" customFormat="false" ht="15" hidden="false" customHeight="false" outlineLevel="0" collapsed="false">
      <c r="A20" s="3" t="s">
        <v>105</v>
      </c>
      <c r="B20" s="12" t="n">
        <f aca="false">Inputs!B20</f>
        <v>200</v>
      </c>
      <c r="C20" s="3"/>
    </row>
    <row r="21" customFormat="false" ht="15" hidden="false" customHeight="false" outlineLevel="0" collapsed="false">
      <c r="A21" s="3" t="s">
        <v>106</v>
      </c>
      <c r="B21" s="12" t="n">
        <f aca="false">Inputs!B33-Inputs!B32</f>
        <v>350</v>
      </c>
      <c r="C21" s="3" t="s">
        <v>107</v>
      </c>
    </row>
    <row r="22" customFormat="false" ht="15" hidden="false" customHeight="false" outlineLevel="0" collapsed="false">
      <c r="A22" s="3" t="s">
        <v>108</v>
      </c>
      <c r="B22" s="15" t="n">
        <f aca="false">Inputs!B34</f>
        <v>175</v>
      </c>
      <c r="C22" s="3"/>
    </row>
    <row r="24" customFormat="false" ht="15" hidden="false" customHeight="false" outlineLevel="0" collapsed="false">
      <c r="A24" s="16" t="s">
        <v>109</v>
      </c>
    </row>
    <row r="25" customFormat="false" ht="15" hidden="false" customHeight="false" outlineLevel="0" collapsed="false">
      <c r="A25" s="4" t="s">
        <v>110</v>
      </c>
      <c r="B25" s="5" t="s">
        <v>111</v>
      </c>
      <c r="C25" s="5" t="s">
        <v>112</v>
      </c>
      <c r="D25" s="5" t="s">
        <v>82</v>
      </c>
    </row>
    <row r="26" customFormat="false" ht="15" hidden="false" customHeight="false" outlineLevel="0" collapsed="false">
      <c r="A26" s="3" t="s">
        <v>86</v>
      </c>
      <c r="B26" s="12" t="n">
        <f aca="false">D6*Inputs!$B$11</f>
        <v>350000</v>
      </c>
      <c r="C26" s="12" t="n">
        <f aca="false">B26*Inputs!$B$10</f>
        <v>1515500</v>
      </c>
    </row>
    <row r="27" customFormat="false" ht="15" hidden="false" customHeight="false" outlineLevel="0" collapsed="false">
      <c r="A27" s="3" t="s">
        <v>88</v>
      </c>
      <c r="B27" s="12" t="n">
        <f aca="false">D7*Inputs!$B$11</f>
        <v>300000</v>
      </c>
      <c r="C27" s="12" t="n">
        <f aca="false">B27*Inputs!$B$10</f>
        <v>1299000</v>
      </c>
    </row>
    <row r="28" customFormat="false" ht="15" hidden="false" customHeight="false" outlineLevel="0" collapsed="false">
      <c r="A28" s="16" t="s">
        <v>113</v>
      </c>
      <c r="B28" s="12" t="n">
        <f aca="false">D8*Inputs!$B$11</f>
        <v>50000</v>
      </c>
      <c r="C28" s="12" t="n">
        <f aca="false">B28*Inputs!$B$10</f>
        <v>216500</v>
      </c>
      <c r="D28" s="3" t="s">
        <v>114</v>
      </c>
    </row>
    <row r="29" customFormat="false" ht="15" hidden="false" customHeight="false" outlineLevel="0" collapsed="false">
      <c r="A29" s="3" t="s">
        <v>93</v>
      </c>
      <c r="B29" s="12" t="n">
        <f aca="false">C10*Inputs!$B$11</f>
        <v>950000</v>
      </c>
      <c r="C29" s="12" t="n">
        <f aca="false">B29*Inputs!$B$10</f>
        <v>4113500</v>
      </c>
      <c r="D29" s="3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8" min="2" style="0" width="22"/>
  </cols>
  <sheetData>
    <row r="1" customFormat="false" ht="17.35" hidden="false" customHeight="false" outlineLevel="0" collapsed="false">
      <c r="A1" s="1" t="s">
        <v>116</v>
      </c>
    </row>
    <row r="3" customFormat="false" ht="54" hidden="false" customHeight="true" outlineLevel="0" collapsed="false">
      <c r="A3" s="4" t="s">
        <v>117</v>
      </c>
      <c r="B3" s="5" t="s">
        <v>118</v>
      </c>
      <c r="C3" s="5" t="s">
        <v>119</v>
      </c>
      <c r="D3" s="5" t="s">
        <v>120</v>
      </c>
      <c r="E3" s="5" t="s">
        <v>121</v>
      </c>
      <c r="F3" s="5" t="s">
        <v>122</v>
      </c>
      <c r="G3" s="5" t="s">
        <v>123</v>
      </c>
      <c r="H3" s="5" t="s">
        <v>124</v>
      </c>
    </row>
    <row r="4" customFormat="false" ht="15" hidden="false" customHeight="false" outlineLevel="0" collapsed="false">
      <c r="A4" s="3" t="s">
        <v>125</v>
      </c>
      <c r="B4" s="10" t="n">
        <v>5</v>
      </c>
      <c r="C4" s="10" t="n">
        <v>5</v>
      </c>
      <c r="D4" s="10" t="n">
        <v>5</v>
      </c>
      <c r="E4" s="10" t="n">
        <v>5</v>
      </c>
      <c r="F4" s="10" t="n">
        <v>5</v>
      </c>
      <c r="G4" s="10" t="n">
        <v>7</v>
      </c>
      <c r="H4" s="10" t="n">
        <v>7</v>
      </c>
    </row>
    <row r="5" customFormat="false" ht="15" hidden="false" customHeight="false" outlineLevel="0" collapsed="false">
      <c r="A5" s="3" t="s">
        <v>126</v>
      </c>
      <c r="B5" s="10" t="n">
        <v>3</v>
      </c>
      <c r="C5" s="10" t="n">
        <v>4</v>
      </c>
      <c r="D5" s="10" t="n">
        <v>5</v>
      </c>
      <c r="E5" s="10" t="n">
        <v>6</v>
      </c>
      <c r="F5" s="10" t="n">
        <v>5</v>
      </c>
      <c r="G5" s="10" t="n">
        <v>7</v>
      </c>
      <c r="H5" s="10" t="n">
        <v>5</v>
      </c>
    </row>
    <row r="6" customFormat="false" ht="15" hidden="false" customHeight="false" outlineLevel="0" collapsed="false">
      <c r="A6" s="3" t="s">
        <v>127</v>
      </c>
      <c r="B6" s="10" t="n">
        <v>3</v>
      </c>
      <c r="C6" s="10" t="n">
        <v>3</v>
      </c>
      <c r="D6" s="10" t="n">
        <v>3</v>
      </c>
      <c r="E6" s="10" t="n">
        <v>3</v>
      </c>
      <c r="F6" s="10" t="n">
        <v>5</v>
      </c>
      <c r="G6" s="10" t="n">
        <v>5</v>
      </c>
      <c r="H6" s="10" t="n">
        <v>5</v>
      </c>
    </row>
    <row r="7" customFormat="false" ht="15" hidden="false" customHeight="false" outlineLevel="0" collapsed="false">
      <c r="A7" s="16" t="s">
        <v>128</v>
      </c>
    </row>
    <row r="8" customFormat="false" ht="15" hidden="false" customHeight="false" outlineLevel="0" collapsed="false">
      <c r="A8" s="3" t="s">
        <v>129</v>
      </c>
      <c r="B8" s="14" t="n">
        <f aca="false">MIN(B5,B4)</f>
        <v>3</v>
      </c>
      <c r="C8" s="14" t="n">
        <f aca="false">MIN(C5,C4)</f>
        <v>4</v>
      </c>
      <c r="D8" s="14" t="n">
        <f aca="false">MIN(D5,D4)</f>
        <v>5</v>
      </c>
      <c r="E8" s="14" t="n">
        <f aca="false">MIN(E5,E4)</f>
        <v>5</v>
      </c>
      <c r="F8" s="14" t="n">
        <f aca="false">MIN(F5,F4)</f>
        <v>5</v>
      </c>
      <c r="G8" s="14" t="n">
        <f aca="false">MIN(G5,G4)</f>
        <v>7</v>
      </c>
      <c r="H8" s="14" t="n">
        <f aca="false">MIN(H5,H4)</f>
        <v>5</v>
      </c>
    </row>
    <row r="9" customFormat="false" ht="15" hidden="false" customHeight="false" outlineLevel="0" collapsed="false">
      <c r="A9" s="3" t="s">
        <v>130</v>
      </c>
      <c r="B9" s="14" t="n">
        <f aca="false">MAX(0,B5-B4)</f>
        <v>0</v>
      </c>
      <c r="C9" s="14" t="n">
        <f aca="false">MAX(0,C5-C4)</f>
        <v>0</v>
      </c>
      <c r="D9" s="14" t="n">
        <f aca="false">MAX(0,D5-D4)</f>
        <v>0</v>
      </c>
      <c r="E9" s="14" t="n">
        <f aca="false">MAX(0,E5-E4)</f>
        <v>1</v>
      </c>
      <c r="F9" s="14" t="n">
        <f aca="false">MAX(0,F5-F4)</f>
        <v>0</v>
      </c>
      <c r="G9" s="14" t="n">
        <f aca="false">MAX(0,G5-G4)</f>
        <v>0</v>
      </c>
      <c r="H9" s="14" t="n">
        <f aca="false">MAX(0,H5-H4)</f>
        <v>0</v>
      </c>
    </row>
    <row r="10" customFormat="false" ht="15" hidden="false" customHeight="false" outlineLevel="0" collapsed="false">
      <c r="A10" s="3" t="s">
        <v>131</v>
      </c>
      <c r="B10" s="12" t="n">
        <f aca="false">B8*Inputs!$B$16+B9*Inputs!$B$6</f>
        <v>570</v>
      </c>
      <c r="C10" s="12" t="n">
        <f aca="false">C8*Inputs!$B$16+C9*Inputs!$B$6</f>
        <v>760</v>
      </c>
      <c r="D10" s="12" t="n">
        <f aca="false">D8*Inputs!$B$16+D9*Inputs!$B$6</f>
        <v>950</v>
      </c>
      <c r="E10" s="12" t="n">
        <f aca="false">E8*Inputs!$B$16+E9*Inputs!$B$6</f>
        <v>1150</v>
      </c>
      <c r="F10" s="12" t="n">
        <f aca="false">F8*Inputs!$B$16+F9*Inputs!$B$6</f>
        <v>950</v>
      </c>
      <c r="G10" s="12" t="n">
        <f aca="false">G8*Inputs!$B$16+G9*Inputs!$B$6</f>
        <v>1330</v>
      </c>
      <c r="H10" s="12" t="n">
        <f aca="false">H8*Inputs!$B$16+H9*Inputs!$B$6</f>
        <v>950</v>
      </c>
    </row>
    <row r="11" customFormat="false" ht="15" hidden="false" customHeight="false" outlineLevel="0" collapsed="false">
      <c r="A11" s="3" t="s">
        <v>132</v>
      </c>
      <c r="B11" s="12" t="n">
        <f aca="false">B8*Inputs!$B$8</f>
        <v>30</v>
      </c>
      <c r="C11" s="12" t="n">
        <f aca="false">C8*Inputs!$B$8</f>
        <v>40</v>
      </c>
      <c r="D11" s="12" t="n">
        <f aca="false">D8*Inputs!$B$8</f>
        <v>50</v>
      </c>
      <c r="E11" s="12" t="n">
        <f aca="false">E8*Inputs!$B$8</f>
        <v>50</v>
      </c>
      <c r="F11" s="12" t="n">
        <f aca="false">F8*Inputs!$B$8</f>
        <v>50</v>
      </c>
      <c r="G11" s="12" t="n">
        <f aca="false">G8*Inputs!$B$8</f>
        <v>70</v>
      </c>
      <c r="H11" s="12" t="n">
        <f aca="false">H8*Inputs!$B$8</f>
        <v>50</v>
      </c>
    </row>
    <row r="12" customFormat="false" ht="15" hidden="false" customHeight="false" outlineLevel="0" collapsed="false">
      <c r="A12" s="3" t="s">
        <v>88</v>
      </c>
      <c r="B12" s="12" t="n">
        <f aca="false">B5*Inputs!$B$7</f>
        <v>450</v>
      </c>
      <c r="C12" s="12" t="n">
        <f aca="false">C5*Inputs!$B$7</f>
        <v>600</v>
      </c>
      <c r="D12" s="12" t="n">
        <f aca="false">D5*Inputs!$B$7</f>
        <v>750</v>
      </c>
      <c r="E12" s="12" t="n">
        <f aca="false">E5*Inputs!$B$7</f>
        <v>900</v>
      </c>
      <c r="F12" s="12" t="n">
        <f aca="false">F5*Inputs!$B$7</f>
        <v>750</v>
      </c>
      <c r="G12" s="12" t="n">
        <f aca="false">G5*Inputs!$B$7</f>
        <v>1050</v>
      </c>
      <c r="H12" s="12" t="n">
        <f aca="false">H5*Inputs!$B$7</f>
        <v>750</v>
      </c>
    </row>
    <row r="13" customFormat="false" ht="15" hidden="false" customHeight="false" outlineLevel="0" collapsed="false">
      <c r="A13" s="3" t="s">
        <v>133</v>
      </c>
      <c r="B13" s="12" t="n">
        <f aca="false">B10-B12</f>
        <v>120</v>
      </c>
      <c r="C13" s="12" t="n">
        <f aca="false">C10-C12</f>
        <v>160</v>
      </c>
      <c r="D13" s="12" t="n">
        <f aca="false">D10-D12</f>
        <v>200</v>
      </c>
      <c r="E13" s="12" t="n">
        <f aca="false">E10-E12</f>
        <v>250</v>
      </c>
      <c r="F13" s="12" t="n">
        <f aca="false">F10-F12</f>
        <v>200</v>
      </c>
      <c r="G13" s="12" t="n">
        <f aca="false">G10-G12</f>
        <v>280</v>
      </c>
      <c r="H13" s="12" t="n">
        <f aca="false">H10-H12</f>
        <v>200</v>
      </c>
    </row>
    <row r="14" customFormat="false" ht="15" hidden="false" customHeight="false" outlineLevel="0" collapsed="false">
      <c r="A14" s="3" t="s">
        <v>134</v>
      </c>
      <c r="B14" s="12" t="n">
        <f aca="false">B6*Inputs!$B$15</f>
        <v>150</v>
      </c>
      <c r="C14" s="12" t="n">
        <f aca="false">C6*Inputs!$B$15</f>
        <v>150</v>
      </c>
      <c r="D14" s="12" t="n">
        <f aca="false">D6*Inputs!$B$15</f>
        <v>150</v>
      </c>
      <c r="E14" s="12" t="n">
        <f aca="false">E6*Inputs!$B$15</f>
        <v>150</v>
      </c>
      <c r="F14" s="12" t="n">
        <f aca="false">F6*Inputs!$B$15</f>
        <v>250</v>
      </c>
      <c r="G14" s="12" t="n">
        <f aca="false">G6*Inputs!$B$15</f>
        <v>250</v>
      </c>
      <c r="H14" s="12" t="n">
        <f aca="false">H6*Inputs!$B$15</f>
        <v>250</v>
      </c>
    </row>
    <row r="15" customFormat="false" ht="15" hidden="false" customHeight="false" outlineLevel="0" collapsed="false">
      <c r="A15" s="16" t="s">
        <v>135</v>
      </c>
      <c r="B15" s="18" t="n">
        <f aca="false">B13-B14</f>
        <v>-30</v>
      </c>
      <c r="C15" s="18" t="n">
        <f aca="false">C13-C14</f>
        <v>10</v>
      </c>
      <c r="D15" s="18" t="n">
        <f aca="false">D13-D14</f>
        <v>50</v>
      </c>
      <c r="E15" s="18" t="n">
        <f aca="false">E13-E14</f>
        <v>100</v>
      </c>
      <c r="F15" s="18" t="n">
        <f aca="false">F13-F14</f>
        <v>-50</v>
      </c>
      <c r="G15" s="18" t="n">
        <f aca="false">G13-G14</f>
        <v>30</v>
      </c>
      <c r="H15" s="18" t="n">
        <f aca="false">H13-H14</f>
        <v>-50</v>
      </c>
    </row>
    <row r="16" customFormat="false" ht="15" hidden="false" customHeight="false" outlineLevel="0" collapsed="false">
      <c r="A16" s="3" t="s">
        <v>136</v>
      </c>
      <c r="B16" s="12" t="n">
        <f aca="false">B4*Inputs!$B$16</f>
        <v>950</v>
      </c>
      <c r="C16" s="12" t="n">
        <f aca="false">C4*Inputs!$B$16</f>
        <v>950</v>
      </c>
      <c r="D16" s="12" t="n">
        <f aca="false">D4*Inputs!$B$16</f>
        <v>950</v>
      </c>
      <c r="E16" s="12" t="n">
        <f aca="false">E4*Inputs!$B$16</f>
        <v>950</v>
      </c>
      <c r="F16" s="12" t="n">
        <f aca="false">F4*Inputs!$B$16</f>
        <v>950</v>
      </c>
      <c r="G16" s="12" t="n">
        <f aca="false">G4*Inputs!$B$16</f>
        <v>1330</v>
      </c>
      <c r="H16" s="12" t="n">
        <f aca="false">H4*Inputs!$B$16</f>
        <v>1330</v>
      </c>
    </row>
    <row r="17" customFormat="false" ht="15" hidden="false" customHeight="false" outlineLevel="0" collapsed="false">
      <c r="A17" s="3" t="s">
        <v>137</v>
      </c>
      <c r="B17" s="12" t="n">
        <f aca="false">(B4-B8)*Inputs!$B$16</f>
        <v>380</v>
      </c>
      <c r="C17" s="12" t="n">
        <f aca="false">(C4-C8)*Inputs!$B$16</f>
        <v>190</v>
      </c>
      <c r="D17" s="12" t="n">
        <f aca="false">(D4-D8)*Inputs!$B$16</f>
        <v>0</v>
      </c>
      <c r="E17" s="12" t="n">
        <f aca="false">(E4-E8)*Inputs!$B$16</f>
        <v>0</v>
      </c>
      <c r="F17" s="12" t="n">
        <f aca="false">(F4-F8)*Inputs!$B$16</f>
        <v>0</v>
      </c>
      <c r="G17" s="12" t="n">
        <f aca="false">(G4-G8)*Inputs!$B$16</f>
        <v>0</v>
      </c>
      <c r="H17" s="12" t="n">
        <f aca="false">(H4-H8)*Inputs!$B$16</f>
        <v>380</v>
      </c>
    </row>
    <row r="18" customFormat="false" ht="15" hidden="false" customHeight="false" outlineLevel="0" collapsed="false">
      <c r="A18" s="16" t="s">
        <v>138</v>
      </c>
      <c r="B18" s="18" t="n">
        <f aca="false">B15*Inputs!$B$11</f>
        <v>-30000</v>
      </c>
      <c r="C18" s="18" t="n">
        <f aca="false">C15*Inputs!$B$11</f>
        <v>10000</v>
      </c>
      <c r="D18" s="18" t="n">
        <f aca="false">D15*Inputs!$B$11</f>
        <v>50000</v>
      </c>
      <c r="E18" s="18" t="n">
        <f aca="false">E15*Inputs!$B$11</f>
        <v>100000</v>
      </c>
      <c r="F18" s="18" t="n">
        <f aca="false">F15*Inputs!$B$11</f>
        <v>-50000</v>
      </c>
      <c r="G18" s="18" t="n">
        <f aca="false">G15*Inputs!$B$11</f>
        <v>30000</v>
      </c>
      <c r="H18" s="18" t="n">
        <f aca="false">H15*Inputs!$B$11</f>
        <v>-50000</v>
      </c>
    </row>
    <row r="19" customFormat="false" ht="15" hidden="false" customHeight="false" outlineLevel="0" collapsed="false">
      <c r="A19" s="3" t="s">
        <v>139</v>
      </c>
      <c r="B19" s="12" t="n">
        <f aca="false">B15*Inputs!$B$11*Inputs!$B$10</f>
        <v>-129900</v>
      </c>
      <c r="C19" s="12" t="n">
        <f aca="false">C15*Inputs!$B$11*Inputs!$B$10</f>
        <v>43300</v>
      </c>
      <c r="D19" s="12" t="n">
        <f aca="false">D15*Inputs!$B$11*Inputs!$B$10</f>
        <v>216500</v>
      </c>
      <c r="E19" s="12" t="n">
        <f aca="false">E15*Inputs!$B$11*Inputs!$B$10</f>
        <v>433000</v>
      </c>
      <c r="F19" s="12" t="n">
        <f aca="false">F15*Inputs!$B$11*Inputs!$B$10</f>
        <v>-216500</v>
      </c>
      <c r="G19" s="12" t="n">
        <f aca="false">G15*Inputs!$B$11*Inputs!$B$10</f>
        <v>129900</v>
      </c>
      <c r="H19" s="12" t="n">
        <f aca="false">H15*Inputs!$B$11*Inputs!$B$10</f>
        <v>-216500</v>
      </c>
    </row>
    <row r="22" customFormat="false" ht="15" hidden="false" customHeight="false" outlineLevel="0" collapsed="false">
      <c r="A22" s="16" t="s">
        <v>140</v>
      </c>
    </row>
    <row r="23" customFormat="false" ht="15" hidden="false" customHeight="false" outlineLevel="0" collapsed="false">
      <c r="A23" s="3" t="s">
        <v>141</v>
      </c>
    </row>
    <row r="24" customFormat="false" ht="15" hidden="false" customHeight="false" outlineLevel="0" collapsed="false">
      <c r="A24" s="3" t="s">
        <v>142</v>
      </c>
    </row>
    <row r="25" customFormat="false" ht="15" hidden="false" customHeight="false" outlineLevel="0" collapsed="false">
      <c r="A25" s="3" t="s">
        <v>143</v>
      </c>
    </row>
    <row r="26" customFormat="false" ht="15" hidden="false" customHeight="false" outlineLevel="0" collapsed="false">
      <c r="A26" s="3" t="s">
        <v>144</v>
      </c>
    </row>
    <row r="27" customFormat="false" ht="15" hidden="false" customHeight="false" outlineLevel="0" collapsed="false">
      <c r="A27" s="3" t="s">
        <v>145</v>
      </c>
    </row>
  </sheetData>
  <conditionalFormatting sqref="B15:H15">
    <cfRule type="cellIs" priority="2" operator="lessThan" aboveAverage="0" equalAverage="0" bottom="0" percent="0" rank="0" text="" dxfId="0">
      <formula>0</formula>
    </cfRule>
  </conditionalFormatting>
  <conditionalFormatting sqref="B18:H19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3" t="s">
        <v>147</v>
      </c>
    </row>
    <row r="4" customFormat="false" ht="15" hidden="false" customHeight="false" outlineLevel="0" collapsed="false">
      <c r="A4" s="4" t="s">
        <v>148</v>
      </c>
      <c r="B4" s="5" t="n">
        <v>3</v>
      </c>
      <c r="C4" s="5" t="n">
        <v>4</v>
      </c>
      <c r="D4" s="5" t="n">
        <v>5</v>
      </c>
      <c r="E4" s="5" t="n">
        <v>6</v>
      </c>
      <c r="F4" s="5" t="n">
        <v>7</v>
      </c>
    </row>
    <row r="5" customFormat="false" ht="15" hidden="false" customHeight="false" outlineLevel="0" collapsed="false">
      <c r="A5" s="10" t="n">
        <v>1</v>
      </c>
      <c r="B5" s="12" t="n">
        <f aca="false">IF(B$4&lt;=$A5,"not offered",(B$4-$A5)*Inputs!$B$15-B$4*Inputs!$B$8)</f>
        <v>70</v>
      </c>
      <c r="C5" s="12" t="n">
        <f aca="false">IF(C$4&lt;=$A5,"not offered",(C$4-$A5)*Inputs!$B$15-C$4*Inputs!$B$8)</f>
        <v>110</v>
      </c>
      <c r="D5" s="12" t="n">
        <f aca="false">IF(D$4&lt;=$A5,"not offered",(D$4-$A5)*Inputs!$B$15-D$4*Inputs!$B$8)</f>
        <v>150</v>
      </c>
      <c r="E5" s="12" t="n">
        <f aca="false">IF(E$4&lt;=$A5,"not offered",(E$4-$A5)*Inputs!$B$15-E$4*Inputs!$B$8)</f>
        <v>190</v>
      </c>
      <c r="F5" s="12" t="n">
        <f aca="false">IF(F$4&lt;=$A5,"not offered",(F$4-$A5)*Inputs!$B$15-F$4*Inputs!$B$8)</f>
        <v>230</v>
      </c>
    </row>
    <row r="6" customFormat="false" ht="15" hidden="false" customHeight="false" outlineLevel="0" collapsed="false">
      <c r="A6" s="10" t="n">
        <v>2</v>
      </c>
      <c r="B6" s="12" t="n">
        <f aca="false">IF(B$4&lt;=$A6,"not offered",(B$4-$A6)*Inputs!$B$15-B$4*Inputs!$B$8)</f>
        <v>20</v>
      </c>
      <c r="C6" s="12" t="n">
        <f aca="false">IF(C$4&lt;=$A6,"not offered",(C$4-$A6)*Inputs!$B$15-C$4*Inputs!$B$8)</f>
        <v>60</v>
      </c>
      <c r="D6" s="12" t="n">
        <f aca="false">IF(D$4&lt;=$A6,"not offered",(D$4-$A6)*Inputs!$B$15-D$4*Inputs!$B$8)</f>
        <v>100</v>
      </c>
      <c r="E6" s="12" t="n">
        <f aca="false">IF(E$4&lt;=$A6,"not offered",(E$4-$A6)*Inputs!$B$15-E$4*Inputs!$B$8)</f>
        <v>140</v>
      </c>
      <c r="F6" s="12" t="n">
        <f aca="false">IF(F$4&lt;=$A6,"not offered",(F$4-$A6)*Inputs!$B$15-F$4*Inputs!$B$8)</f>
        <v>180</v>
      </c>
    </row>
    <row r="7" customFormat="false" ht="15" hidden="false" customHeight="false" outlineLevel="0" collapsed="false">
      <c r="A7" s="10" t="n">
        <v>3</v>
      </c>
      <c r="B7" s="12" t="str">
        <f aca="false">IF(B$4&lt;=$A7,"not offered",(B$4-$A7)*Inputs!$B$15-B$4*Inputs!$B$8)</f>
        <v>not offered</v>
      </c>
      <c r="C7" s="12" t="n">
        <f aca="false">IF(C$4&lt;=$A7,"not offered",(C$4-$A7)*Inputs!$B$15-C$4*Inputs!$B$8)</f>
        <v>10</v>
      </c>
      <c r="D7" s="12" t="n">
        <f aca="false">IF(D$4&lt;=$A7,"not offered",(D$4-$A7)*Inputs!$B$15-D$4*Inputs!$B$8)</f>
        <v>50</v>
      </c>
      <c r="E7" s="12" t="n">
        <f aca="false">IF(E$4&lt;=$A7,"not offered",(E$4-$A7)*Inputs!$B$15-E$4*Inputs!$B$8)</f>
        <v>90</v>
      </c>
      <c r="F7" s="12" t="n">
        <f aca="false">IF(F$4&lt;=$A7,"not offered",(F$4-$A7)*Inputs!$B$15-F$4*Inputs!$B$8)</f>
        <v>130</v>
      </c>
    </row>
    <row r="8" customFormat="false" ht="15" hidden="false" customHeight="false" outlineLevel="0" collapsed="false">
      <c r="A8" s="10" t="n">
        <v>4</v>
      </c>
      <c r="B8" s="12" t="str">
        <f aca="false">IF(B$4&lt;=$A8,"not offered",(B$4-$A8)*Inputs!$B$15-B$4*Inputs!$B$8)</f>
        <v>not offered</v>
      </c>
      <c r="C8" s="12" t="str">
        <f aca="false">IF(C$4&lt;=$A8,"not offered",(C$4-$A8)*Inputs!$B$15-C$4*Inputs!$B$8)</f>
        <v>not offered</v>
      </c>
      <c r="D8" s="12" t="n">
        <f aca="false">IF(D$4&lt;=$A8,"not offered",(D$4-$A8)*Inputs!$B$15-D$4*Inputs!$B$8)</f>
        <v>0</v>
      </c>
      <c r="E8" s="12" t="n">
        <f aca="false">IF(E$4&lt;=$A8,"not offered",(E$4-$A8)*Inputs!$B$15-E$4*Inputs!$B$8)</f>
        <v>40</v>
      </c>
      <c r="F8" s="12" t="n">
        <f aca="false">IF(F$4&lt;=$A8,"not offered",(F$4-$A8)*Inputs!$B$15-F$4*Inputs!$B$8)</f>
        <v>80</v>
      </c>
    </row>
    <row r="9" customFormat="false" ht="15" hidden="false" customHeight="false" outlineLevel="0" collapsed="false">
      <c r="A9" s="10" t="n">
        <v>5</v>
      </c>
      <c r="B9" s="12" t="str">
        <f aca="false">IF(B$4&lt;=$A9,"not offered",(B$4-$A9)*Inputs!$B$15-B$4*Inputs!$B$8)</f>
        <v>not offered</v>
      </c>
      <c r="C9" s="12" t="str">
        <f aca="false">IF(C$4&lt;=$A9,"not offered",(C$4-$A9)*Inputs!$B$15-C$4*Inputs!$B$8)</f>
        <v>not offered</v>
      </c>
      <c r="D9" s="12" t="str">
        <f aca="false">IF(D$4&lt;=$A9,"not offered",(D$4-$A9)*Inputs!$B$15-D$4*Inputs!$B$8)</f>
        <v>not offered</v>
      </c>
      <c r="E9" s="12" t="n">
        <f aca="false">IF(E$4&lt;=$A9,"not offered",(E$4-$A9)*Inputs!$B$15-E$4*Inputs!$B$8)</f>
        <v>-10</v>
      </c>
      <c r="F9" s="12" t="n">
        <f aca="false">IF(F$4&lt;=$A9,"not offered",(F$4-$A9)*Inputs!$B$15-F$4*Inputs!$B$8)</f>
        <v>30</v>
      </c>
    </row>
    <row r="10" customFormat="false" ht="15" hidden="false" customHeight="false" outlineLevel="0" collapsed="false">
      <c r="A10" s="10" t="n">
        <v>6</v>
      </c>
      <c r="B10" s="12" t="str">
        <f aca="false">IF(B$4&lt;=$A10,"not offered",(B$4-$A10)*Inputs!$B$15-B$4*Inputs!$B$8)</f>
        <v>not offered</v>
      </c>
      <c r="C10" s="12" t="str">
        <f aca="false">IF(C$4&lt;=$A10,"not offered",(C$4-$A10)*Inputs!$B$15-C$4*Inputs!$B$8)</f>
        <v>not offered</v>
      </c>
      <c r="D10" s="12" t="str">
        <f aca="false">IF(D$4&lt;=$A10,"not offered",(D$4-$A10)*Inputs!$B$15-D$4*Inputs!$B$8)</f>
        <v>not offered</v>
      </c>
      <c r="E10" s="12" t="str">
        <f aca="false">IF(E$4&lt;=$A10,"not offered",(E$4-$A10)*Inputs!$B$15-E$4*Inputs!$B$8)</f>
        <v>not offered</v>
      </c>
      <c r="F10" s="12" t="n">
        <f aca="false">IF(F$4&lt;=$A10,"not offered",(F$4-$A10)*Inputs!$B$15-F$4*Inputs!$B$8)</f>
        <v>-20</v>
      </c>
    </row>
    <row r="12" customFormat="false" ht="15" hidden="false" customHeight="false" outlineLevel="0" collapsed="false">
      <c r="A12" s="3" t="s">
        <v>149</v>
      </c>
    </row>
  </sheetData>
  <conditionalFormatting sqref="B5:F1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150</v>
      </c>
    </row>
    <row r="3" customFormat="false" ht="15" hidden="false" customHeight="false" outlineLevel="0" collapsed="false">
      <c r="A3" s="16" t="s">
        <v>151</v>
      </c>
    </row>
    <row r="4" customFormat="false" ht="15" hidden="false" customHeight="false" outlineLevel="0" collapsed="false">
      <c r="A4" s="4" t="s">
        <v>152</v>
      </c>
      <c r="B4" s="19" t="n">
        <v>0</v>
      </c>
      <c r="C4" s="19" t="n">
        <v>5</v>
      </c>
      <c r="D4" s="19" t="n">
        <v>10</v>
      </c>
      <c r="E4" s="19" t="n">
        <v>15</v>
      </c>
      <c r="F4" s="19" t="n">
        <v>20</v>
      </c>
      <c r="G4" s="19" t="n">
        <v>25</v>
      </c>
    </row>
    <row r="5" customFormat="false" ht="15" hidden="false" customHeight="false" outlineLevel="0" collapsed="false">
      <c r="A5" s="8" t="n">
        <v>120</v>
      </c>
      <c r="B5" s="12" t="n">
        <f aca="false">(Inputs!$B$5-Inputs!$B$4)*(Inputs!$B$6-$A5)-Inputs!$B$5*B$4</f>
        <v>160</v>
      </c>
      <c r="C5" s="12" t="n">
        <f aca="false">(Inputs!$B$5-Inputs!$B$4)*(Inputs!$B$6-$A5)-Inputs!$B$5*C$4</f>
        <v>135</v>
      </c>
      <c r="D5" s="12" t="n">
        <f aca="false">(Inputs!$B$5-Inputs!$B$4)*(Inputs!$B$6-$A5)-Inputs!$B$5*D$4</f>
        <v>110</v>
      </c>
      <c r="E5" s="12" t="n">
        <f aca="false">(Inputs!$B$5-Inputs!$B$4)*(Inputs!$B$6-$A5)-Inputs!$B$5*E$4</f>
        <v>85</v>
      </c>
      <c r="F5" s="12" t="n">
        <f aca="false">(Inputs!$B$5-Inputs!$B$4)*(Inputs!$B$6-$A5)-Inputs!$B$5*F$4</f>
        <v>60</v>
      </c>
      <c r="G5" s="12" t="n">
        <f aca="false">(Inputs!$B$5-Inputs!$B$4)*(Inputs!$B$6-$A5)-Inputs!$B$5*G$4</f>
        <v>35</v>
      </c>
    </row>
    <row r="6" customFormat="false" ht="15" hidden="false" customHeight="false" outlineLevel="0" collapsed="false">
      <c r="A6" s="8" t="n">
        <v>130</v>
      </c>
      <c r="B6" s="12" t="n">
        <f aca="false">(Inputs!$B$5-Inputs!$B$4)*(Inputs!$B$6-$A6)-Inputs!$B$5*B$4</f>
        <v>140</v>
      </c>
      <c r="C6" s="12" t="n">
        <f aca="false">(Inputs!$B$5-Inputs!$B$4)*(Inputs!$B$6-$A6)-Inputs!$B$5*C$4</f>
        <v>115</v>
      </c>
      <c r="D6" s="12" t="n">
        <f aca="false">(Inputs!$B$5-Inputs!$B$4)*(Inputs!$B$6-$A6)-Inputs!$B$5*D$4</f>
        <v>90</v>
      </c>
      <c r="E6" s="12" t="n">
        <f aca="false">(Inputs!$B$5-Inputs!$B$4)*(Inputs!$B$6-$A6)-Inputs!$B$5*E$4</f>
        <v>65</v>
      </c>
      <c r="F6" s="12" t="n">
        <f aca="false">(Inputs!$B$5-Inputs!$B$4)*(Inputs!$B$6-$A6)-Inputs!$B$5*F$4</f>
        <v>40</v>
      </c>
      <c r="G6" s="12" t="n">
        <f aca="false">(Inputs!$B$5-Inputs!$B$4)*(Inputs!$B$6-$A6)-Inputs!$B$5*G$4</f>
        <v>15</v>
      </c>
    </row>
    <row r="7" customFormat="false" ht="15" hidden="false" customHeight="false" outlineLevel="0" collapsed="false">
      <c r="A7" s="8" t="n">
        <v>140</v>
      </c>
      <c r="B7" s="12" t="n">
        <f aca="false">(Inputs!$B$5-Inputs!$B$4)*(Inputs!$B$6-$A7)-Inputs!$B$5*B$4</f>
        <v>120</v>
      </c>
      <c r="C7" s="12" t="n">
        <f aca="false">(Inputs!$B$5-Inputs!$B$4)*(Inputs!$B$6-$A7)-Inputs!$B$5*C$4</f>
        <v>95</v>
      </c>
      <c r="D7" s="12" t="n">
        <f aca="false">(Inputs!$B$5-Inputs!$B$4)*(Inputs!$B$6-$A7)-Inputs!$B$5*D$4</f>
        <v>70</v>
      </c>
      <c r="E7" s="12" t="n">
        <f aca="false">(Inputs!$B$5-Inputs!$B$4)*(Inputs!$B$6-$A7)-Inputs!$B$5*E$4</f>
        <v>45</v>
      </c>
      <c r="F7" s="12" t="n">
        <f aca="false">(Inputs!$B$5-Inputs!$B$4)*(Inputs!$B$6-$A7)-Inputs!$B$5*F$4</f>
        <v>20</v>
      </c>
      <c r="G7" s="12" t="n">
        <f aca="false">(Inputs!$B$5-Inputs!$B$4)*(Inputs!$B$6-$A7)-Inputs!$B$5*G$4</f>
        <v>-5</v>
      </c>
    </row>
    <row r="8" customFormat="false" ht="15" hidden="false" customHeight="false" outlineLevel="0" collapsed="false">
      <c r="A8" s="8" t="n">
        <v>150</v>
      </c>
      <c r="B8" s="12" t="n">
        <f aca="false">(Inputs!$B$5-Inputs!$B$4)*(Inputs!$B$6-$A8)-Inputs!$B$5*B$4</f>
        <v>100</v>
      </c>
      <c r="C8" s="12" t="n">
        <f aca="false">(Inputs!$B$5-Inputs!$B$4)*(Inputs!$B$6-$A8)-Inputs!$B$5*C$4</f>
        <v>75</v>
      </c>
      <c r="D8" s="12" t="n">
        <f aca="false">(Inputs!$B$5-Inputs!$B$4)*(Inputs!$B$6-$A8)-Inputs!$B$5*D$4</f>
        <v>50</v>
      </c>
      <c r="E8" s="12" t="n">
        <f aca="false">(Inputs!$B$5-Inputs!$B$4)*(Inputs!$B$6-$A8)-Inputs!$B$5*E$4</f>
        <v>25</v>
      </c>
      <c r="F8" s="12" t="n">
        <f aca="false">(Inputs!$B$5-Inputs!$B$4)*(Inputs!$B$6-$A8)-Inputs!$B$5*F$4</f>
        <v>0</v>
      </c>
      <c r="G8" s="12" t="n">
        <f aca="false">(Inputs!$B$5-Inputs!$B$4)*(Inputs!$B$6-$A8)-Inputs!$B$5*G$4</f>
        <v>-25</v>
      </c>
    </row>
    <row r="9" customFormat="false" ht="15" hidden="false" customHeight="false" outlineLevel="0" collapsed="false">
      <c r="A9" s="8" t="n">
        <v>160</v>
      </c>
      <c r="B9" s="12" t="n">
        <f aca="false">(Inputs!$B$5-Inputs!$B$4)*(Inputs!$B$6-$A9)-Inputs!$B$5*B$4</f>
        <v>80</v>
      </c>
      <c r="C9" s="12" t="n">
        <f aca="false">(Inputs!$B$5-Inputs!$B$4)*(Inputs!$B$6-$A9)-Inputs!$B$5*C$4</f>
        <v>55</v>
      </c>
      <c r="D9" s="12" t="n">
        <f aca="false">(Inputs!$B$5-Inputs!$B$4)*(Inputs!$B$6-$A9)-Inputs!$B$5*D$4</f>
        <v>30</v>
      </c>
      <c r="E9" s="12" t="n">
        <f aca="false">(Inputs!$B$5-Inputs!$B$4)*(Inputs!$B$6-$A9)-Inputs!$B$5*E$4</f>
        <v>5</v>
      </c>
      <c r="F9" s="12" t="n">
        <f aca="false">(Inputs!$B$5-Inputs!$B$4)*(Inputs!$B$6-$A9)-Inputs!$B$5*F$4</f>
        <v>-20</v>
      </c>
      <c r="G9" s="12" t="n">
        <f aca="false">(Inputs!$B$5-Inputs!$B$4)*(Inputs!$B$6-$A9)-Inputs!$B$5*G$4</f>
        <v>-45</v>
      </c>
    </row>
    <row r="10" customFormat="false" ht="15" hidden="false" customHeight="false" outlineLevel="0" collapsed="false">
      <c r="A10" s="8" t="n">
        <v>170</v>
      </c>
      <c r="B10" s="12" t="n">
        <f aca="false">(Inputs!$B$5-Inputs!$B$4)*(Inputs!$B$6-$A10)-Inputs!$B$5*B$4</f>
        <v>60</v>
      </c>
      <c r="C10" s="12" t="n">
        <f aca="false">(Inputs!$B$5-Inputs!$B$4)*(Inputs!$B$6-$A10)-Inputs!$B$5*C$4</f>
        <v>35</v>
      </c>
      <c r="D10" s="12" t="n">
        <f aca="false">(Inputs!$B$5-Inputs!$B$4)*(Inputs!$B$6-$A10)-Inputs!$B$5*D$4</f>
        <v>10</v>
      </c>
      <c r="E10" s="12" t="n">
        <f aca="false">(Inputs!$B$5-Inputs!$B$4)*(Inputs!$B$6-$A10)-Inputs!$B$5*E$4</f>
        <v>-15</v>
      </c>
      <c r="F10" s="12" t="n">
        <f aca="false">(Inputs!$B$5-Inputs!$B$4)*(Inputs!$B$6-$A10)-Inputs!$B$5*F$4</f>
        <v>-40</v>
      </c>
      <c r="G10" s="12" t="n">
        <f aca="false">(Inputs!$B$5-Inputs!$B$4)*(Inputs!$B$6-$A10)-Inputs!$B$5*G$4</f>
        <v>-65</v>
      </c>
    </row>
    <row r="11" customFormat="false" ht="15" hidden="false" customHeight="false" outlineLevel="0" collapsed="false">
      <c r="A11" s="8" t="n">
        <v>180</v>
      </c>
      <c r="B11" s="12" t="n">
        <f aca="false">(Inputs!$B$5-Inputs!$B$4)*(Inputs!$B$6-$A11)-Inputs!$B$5*B$4</f>
        <v>40</v>
      </c>
      <c r="C11" s="12" t="n">
        <f aca="false">(Inputs!$B$5-Inputs!$B$4)*(Inputs!$B$6-$A11)-Inputs!$B$5*C$4</f>
        <v>15</v>
      </c>
      <c r="D11" s="12" t="n">
        <f aca="false">(Inputs!$B$5-Inputs!$B$4)*(Inputs!$B$6-$A11)-Inputs!$B$5*D$4</f>
        <v>-10</v>
      </c>
      <c r="E11" s="12" t="n">
        <f aca="false">(Inputs!$B$5-Inputs!$B$4)*(Inputs!$B$6-$A11)-Inputs!$B$5*E$4</f>
        <v>-35</v>
      </c>
      <c r="F11" s="12" t="n">
        <f aca="false">(Inputs!$B$5-Inputs!$B$4)*(Inputs!$B$6-$A11)-Inputs!$B$5*F$4</f>
        <v>-60</v>
      </c>
      <c r="G11" s="12" t="n">
        <f aca="false">(Inputs!$B$5-Inputs!$B$4)*(Inputs!$B$6-$A11)-Inputs!$B$5*G$4</f>
        <v>-85</v>
      </c>
    </row>
    <row r="12" customFormat="false" ht="15" hidden="false" customHeight="false" outlineLevel="0" collapsed="false">
      <c r="A12" s="8" t="n">
        <v>190</v>
      </c>
      <c r="B12" s="12" t="n">
        <f aca="false">(Inputs!$B$5-Inputs!$B$4)*(Inputs!$B$6-$A12)-Inputs!$B$5*B$4</f>
        <v>20</v>
      </c>
      <c r="C12" s="12" t="n">
        <f aca="false">(Inputs!$B$5-Inputs!$B$4)*(Inputs!$B$6-$A12)-Inputs!$B$5*C$4</f>
        <v>-5</v>
      </c>
      <c r="D12" s="12" t="n">
        <f aca="false">(Inputs!$B$5-Inputs!$B$4)*(Inputs!$B$6-$A12)-Inputs!$B$5*D$4</f>
        <v>-30</v>
      </c>
      <c r="E12" s="12" t="n">
        <f aca="false">(Inputs!$B$5-Inputs!$B$4)*(Inputs!$B$6-$A12)-Inputs!$B$5*E$4</f>
        <v>-55</v>
      </c>
      <c r="F12" s="12" t="n">
        <f aca="false">(Inputs!$B$5-Inputs!$B$4)*(Inputs!$B$6-$A12)-Inputs!$B$5*F$4</f>
        <v>-80</v>
      </c>
      <c r="G12" s="12" t="n">
        <f aca="false">(Inputs!$B$5-Inputs!$B$4)*(Inputs!$B$6-$A12)-Inputs!$B$5*G$4</f>
        <v>-105</v>
      </c>
    </row>
    <row r="15" customFormat="false" ht="15" hidden="false" customHeight="false" outlineLevel="0" collapsed="false">
      <c r="A15" s="16" t="s">
        <v>153</v>
      </c>
    </row>
    <row r="16" customFormat="false" ht="15" hidden="false" customHeight="false" outlineLevel="0" collapsed="false">
      <c r="A16" s="4" t="s">
        <v>154</v>
      </c>
      <c r="B16" s="20" t="n">
        <v>0.2</v>
      </c>
      <c r="C16" s="20" t="n">
        <v>0.3</v>
      </c>
      <c r="D16" s="20" t="n">
        <v>0.4</v>
      </c>
      <c r="E16" s="20" t="n">
        <v>0.5</v>
      </c>
      <c r="F16" s="20" t="n">
        <v>0.6</v>
      </c>
      <c r="G16" s="20" t="n">
        <v>0.8</v>
      </c>
      <c r="H16" s="20" t="n">
        <v>1</v>
      </c>
    </row>
    <row r="17" customFormat="false" ht="15" hidden="false" customHeight="false" outlineLevel="0" collapsed="false">
      <c r="A17" s="8" t="n">
        <v>120</v>
      </c>
      <c r="B17" s="15" t="n">
        <f aca="false">B$16*((Inputs!$B$5-Inputs!$B$4)*(Inputs!$B$6-$A17)-Inputs!$B$5*Inputs!$B$8)+(1-B$16)*(-Inputs!$B$4*Inputs!$B$8)</f>
        <v>-2</v>
      </c>
      <c r="C17" s="15" t="n">
        <f aca="false">C$16*((Inputs!$B$5-Inputs!$B$4)*(Inputs!$B$6-$A17)-Inputs!$B$5*Inputs!$B$8)+(1-C$16)*(-Inputs!$B$4*Inputs!$B$8)</f>
        <v>12</v>
      </c>
      <c r="D17" s="15" t="n">
        <f aca="false">D$16*((Inputs!$B$5-Inputs!$B$4)*(Inputs!$B$6-$A17)-Inputs!$B$5*Inputs!$B$8)+(1-D$16)*(-Inputs!$B$4*Inputs!$B$8)</f>
        <v>26</v>
      </c>
      <c r="E17" s="15" t="n">
        <f aca="false">E$16*((Inputs!$B$5-Inputs!$B$4)*(Inputs!$B$6-$A17)-Inputs!$B$5*Inputs!$B$8)+(1-E$16)*(-Inputs!$B$4*Inputs!$B$8)</f>
        <v>40</v>
      </c>
      <c r="F17" s="15" t="n">
        <f aca="false">F$16*((Inputs!$B$5-Inputs!$B$4)*(Inputs!$B$6-$A17)-Inputs!$B$5*Inputs!$B$8)+(1-F$16)*(-Inputs!$B$4*Inputs!$B$8)</f>
        <v>54</v>
      </c>
      <c r="G17" s="15" t="n">
        <f aca="false">G$16*((Inputs!$B$5-Inputs!$B$4)*(Inputs!$B$6-$A17)-Inputs!$B$5*Inputs!$B$8)+(1-G$16)*(-Inputs!$B$4*Inputs!$B$8)</f>
        <v>82</v>
      </c>
      <c r="H17" s="15" t="n">
        <f aca="false">H$16*((Inputs!$B$5-Inputs!$B$4)*(Inputs!$B$6-$A17)-Inputs!$B$5*Inputs!$B$8)+(1-H$16)*(-Inputs!$B$4*Inputs!$B$8)</f>
        <v>110</v>
      </c>
    </row>
    <row r="18" customFormat="false" ht="15" hidden="false" customHeight="false" outlineLevel="0" collapsed="false">
      <c r="A18" s="8" t="n">
        <v>130</v>
      </c>
      <c r="B18" s="15" t="n">
        <f aca="false">B$16*((Inputs!$B$5-Inputs!$B$4)*(Inputs!$B$6-$A18)-Inputs!$B$5*Inputs!$B$8)+(1-B$16)*(-Inputs!$B$4*Inputs!$B$8)</f>
        <v>-6</v>
      </c>
      <c r="C18" s="15" t="n">
        <f aca="false">C$16*((Inputs!$B$5-Inputs!$B$4)*(Inputs!$B$6-$A18)-Inputs!$B$5*Inputs!$B$8)+(1-C$16)*(-Inputs!$B$4*Inputs!$B$8)</f>
        <v>6</v>
      </c>
      <c r="D18" s="15" t="n">
        <f aca="false">D$16*((Inputs!$B$5-Inputs!$B$4)*(Inputs!$B$6-$A18)-Inputs!$B$5*Inputs!$B$8)+(1-D$16)*(-Inputs!$B$4*Inputs!$B$8)</f>
        <v>18</v>
      </c>
      <c r="E18" s="15" t="n">
        <f aca="false">E$16*((Inputs!$B$5-Inputs!$B$4)*(Inputs!$B$6-$A18)-Inputs!$B$5*Inputs!$B$8)+(1-E$16)*(-Inputs!$B$4*Inputs!$B$8)</f>
        <v>30</v>
      </c>
      <c r="F18" s="15" t="n">
        <f aca="false">F$16*((Inputs!$B$5-Inputs!$B$4)*(Inputs!$B$6-$A18)-Inputs!$B$5*Inputs!$B$8)+(1-F$16)*(-Inputs!$B$4*Inputs!$B$8)</f>
        <v>42</v>
      </c>
      <c r="G18" s="15" t="n">
        <f aca="false">G$16*((Inputs!$B$5-Inputs!$B$4)*(Inputs!$B$6-$A18)-Inputs!$B$5*Inputs!$B$8)+(1-G$16)*(-Inputs!$B$4*Inputs!$B$8)</f>
        <v>66</v>
      </c>
      <c r="H18" s="15" t="n">
        <f aca="false">H$16*((Inputs!$B$5-Inputs!$B$4)*(Inputs!$B$6-$A18)-Inputs!$B$5*Inputs!$B$8)+(1-H$16)*(-Inputs!$B$4*Inputs!$B$8)</f>
        <v>90</v>
      </c>
    </row>
    <row r="19" customFormat="false" ht="15" hidden="false" customHeight="false" outlineLevel="0" collapsed="false">
      <c r="A19" s="8" t="n">
        <v>140</v>
      </c>
      <c r="B19" s="15" t="n">
        <f aca="false">B$16*((Inputs!$B$5-Inputs!$B$4)*(Inputs!$B$6-$A19)-Inputs!$B$5*Inputs!$B$8)+(1-B$16)*(-Inputs!$B$4*Inputs!$B$8)</f>
        <v>-10</v>
      </c>
      <c r="C19" s="15" t="n">
        <f aca="false">C$16*((Inputs!$B$5-Inputs!$B$4)*(Inputs!$B$6-$A19)-Inputs!$B$5*Inputs!$B$8)+(1-C$16)*(-Inputs!$B$4*Inputs!$B$8)</f>
        <v>0</v>
      </c>
      <c r="D19" s="15" t="n">
        <f aca="false">D$16*((Inputs!$B$5-Inputs!$B$4)*(Inputs!$B$6-$A19)-Inputs!$B$5*Inputs!$B$8)+(1-D$16)*(-Inputs!$B$4*Inputs!$B$8)</f>
        <v>10</v>
      </c>
      <c r="E19" s="15" t="n">
        <f aca="false">E$16*((Inputs!$B$5-Inputs!$B$4)*(Inputs!$B$6-$A19)-Inputs!$B$5*Inputs!$B$8)+(1-E$16)*(-Inputs!$B$4*Inputs!$B$8)</f>
        <v>20</v>
      </c>
      <c r="F19" s="15" t="n">
        <f aca="false">F$16*((Inputs!$B$5-Inputs!$B$4)*(Inputs!$B$6-$A19)-Inputs!$B$5*Inputs!$B$8)+(1-F$16)*(-Inputs!$B$4*Inputs!$B$8)</f>
        <v>30</v>
      </c>
      <c r="G19" s="15" t="n">
        <f aca="false">G$16*((Inputs!$B$5-Inputs!$B$4)*(Inputs!$B$6-$A19)-Inputs!$B$5*Inputs!$B$8)+(1-G$16)*(-Inputs!$B$4*Inputs!$B$8)</f>
        <v>50</v>
      </c>
      <c r="H19" s="15" t="n">
        <f aca="false">H$16*((Inputs!$B$5-Inputs!$B$4)*(Inputs!$B$6-$A19)-Inputs!$B$5*Inputs!$B$8)+(1-H$16)*(-Inputs!$B$4*Inputs!$B$8)</f>
        <v>70</v>
      </c>
    </row>
    <row r="20" customFormat="false" ht="15" hidden="false" customHeight="false" outlineLevel="0" collapsed="false">
      <c r="A20" s="8" t="n">
        <v>150</v>
      </c>
      <c r="B20" s="15" t="n">
        <f aca="false">B$16*((Inputs!$B$5-Inputs!$B$4)*(Inputs!$B$6-$A20)-Inputs!$B$5*Inputs!$B$8)+(1-B$16)*(-Inputs!$B$4*Inputs!$B$8)</f>
        <v>-14</v>
      </c>
      <c r="C20" s="15" t="n">
        <f aca="false">C$16*((Inputs!$B$5-Inputs!$B$4)*(Inputs!$B$6-$A20)-Inputs!$B$5*Inputs!$B$8)+(1-C$16)*(-Inputs!$B$4*Inputs!$B$8)</f>
        <v>-6</v>
      </c>
      <c r="D20" s="15" t="n">
        <f aca="false">D$16*((Inputs!$B$5-Inputs!$B$4)*(Inputs!$B$6-$A20)-Inputs!$B$5*Inputs!$B$8)+(1-D$16)*(-Inputs!$B$4*Inputs!$B$8)</f>
        <v>2</v>
      </c>
      <c r="E20" s="15" t="n">
        <f aca="false">E$16*((Inputs!$B$5-Inputs!$B$4)*(Inputs!$B$6-$A20)-Inputs!$B$5*Inputs!$B$8)+(1-E$16)*(-Inputs!$B$4*Inputs!$B$8)</f>
        <v>10</v>
      </c>
      <c r="F20" s="15" t="n">
        <f aca="false">F$16*((Inputs!$B$5-Inputs!$B$4)*(Inputs!$B$6-$A20)-Inputs!$B$5*Inputs!$B$8)+(1-F$16)*(-Inputs!$B$4*Inputs!$B$8)</f>
        <v>18</v>
      </c>
      <c r="G20" s="15" t="n">
        <f aca="false">G$16*((Inputs!$B$5-Inputs!$B$4)*(Inputs!$B$6-$A20)-Inputs!$B$5*Inputs!$B$8)+(1-G$16)*(-Inputs!$B$4*Inputs!$B$8)</f>
        <v>34</v>
      </c>
      <c r="H20" s="15" t="n">
        <f aca="false">H$16*((Inputs!$B$5-Inputs!$B$4)*(Inputs!$B$6-$A20)-Inputs!$B$5*Inputs!$B$8)+(1-H$16)*(-Inputs!$B$4*Inputs!$B$8)</f>
        <v>50</v>
      </c>
    </row>
    <row r="21" customFormat="false" ht="15" hidden="false" customHeight="false" outlineLevel="0" collapsed="false">
      <c r="A21" s="8" t="n">
        <v>160</v>
      </c>
      <c r="B21" s="15" t="n">
        <f aca="false">B$16*((Inputs!$B$5-Inputs!$B$4)*(Inputs!$B$6-$A21)-Inputs!$B$5*Inputs!$B$8)+(1-B$16)*(-Inputs!$B$4*Inputs!$B$8)</f>
        <v>-18</v>
      </c>
      <c r="C21" s="15" t="n">
        <f aca="false">C$16*((Inputs!$B$5-Inputs!$B$4)*(Inputs!$B$6-$A21)-Inputs!$B$5*Inputs!$B$8)+(1-C$16)*(-Inputs!$B$4*Inputs!$B$8)</f>
        <v>-12</v>
      </c>
      <c r="D21" s="15" t="n">
        <f aca="false">D$16*((Inputs!$B$5-Inputs!$B$4)*(Inputs!$B$6-$A21)-Inputs!$B$5*Inputs!$B$8)+(1-D$16)*(-Inputs!$B$4*Inputs!$B$8)</f>
        <v>-6</v>
      </c>
      <c r="E21" s="15" t="n">
        <f aca="false">E$16*((Inputs!$B$5-Inputs!$B$4)*(Inputs!$B$6-$A21)-Inputs!$B$5*Inputs!$B$8)+(1-E$16)*(-Inputs!$B$4*Inputs!$B$8)</f>
        <v>0</v>
      </c>
      <c r="F21" s="15" t="n">
        <f aca="false">F$16*((Inputs!$B$5-Inputs!$B$4)*(Inputs!$B$6-$A21)-Inputs!$B$5*Inputs!$B$8)+(1-F$16)*(-Inputs!$B$4*Inputs!$B$8)</f>
        <v>6</v>
      </c>
      <c r="G21" s="15" t="n">
        <f aca="false">G$16*((Inputs!$B$5-Inputs!$B$4)*(Inputs!$B$6-$A21)-Inputs!$B$5*Inputs!$B$8)+(1-G$16)*(-Inputs!$B$4*Inputs!$B$8)</f>
        <v>18</v>
      </c>
      <c r="H21" s="15" t="n">
        <f aca="false">H$16*((Inputs!$B$5-Inputs!$B$4)*(Inputs!$B$6-$A21)-Inputs!$B$5*Inputs!$B$8)+(1-H$16)*(-Inputs!$B$4*Inputs!$B$8)</f>
        <v>30</v>
      </c>
    </row>
    <row r="22" customFormat="false" ht="15" hidden="false" customHeight="false" outlineLevel="0" collapsed="false">
      <c r="A22" s="8" t="n">
        <v>170</v>
      </c>
      <c r="B22" s="15" t="n">
        <f aca="false">B$16*((Inputs!$B$5-Inputs!$B$4)*(Inputs!$B$6-$A22)-Inputs!$B$5*Inputs!$B$8)+(1-B$16)*(-Inputs!$B$4*Inputs!$B$8)</f>
        <v>-22</v>
      </c>
      <c r="C22" s="15" t="n">
        <f aca="false">C$16*((Inputs!$B$5-Inputs!$B$4)*(Inputs!$B$6-$A22)-Inputs!$B$5*Inputs!$B$8)+(1-C$16)*(-Inputs!$B$4*Inputs!$B$8)</f>
        <v>-18</v>
      </c>
      <c r="D22" s="15" t="n">
        <f aca="false">D$16*((Inputs!$B$5-Inputs!$B$4)*(Inputs!$B$6-$A22)-Inputs!$B$5*Inputs!$B$8)+(1-D$16)*(-Inputs!$B$4*Inputs!$B$8)</f>
        <v>-14</v>
      </c>
      <c r="E22" s="15" t="n">
        <f aca="false">E$16*((Inputs!$B$5-Inputs!$B$4)*(Inputs!$B$6-$A22)-Inputs!$B$5*Inputs!$B$8)+(1-E$16)*(-Inputs!$B$4*Inputs!$B$8)</f>
        <v>-10</v>
      </c>
      <c r="F22" s="15" t="n">
        <f aca="false">F$16*((Inputs!$B$5-Inputs!$B$4)*(Inputs!$B$6-$A22)-Inputs!$B$5*Inputs!$B$8)+(1-F$16)*(-Inputs!$B$4*Inputs!$B$8)</f>
        <v>-6</v>
      </c>
      <c r="G22" s="15" t="n">
        <f aca="false">G$16*((Inputs!$B$5-Inputs!$B$4)*(Inputs!$B$6-$A22)-Inputs!$B$5*Inputs!$B$8)+(1-G$16)*(-Inputs!$B$4*Inputs!$B$8)</f>
        <v>2</v>
      </c>
      <c r="H22" s="15" t="n">
        <f aca="false">H$16*((Inputs!$B$5-Inputs!$B$4)*(Inputs!$B$6-$A22)-Inputs!$B$5*Inputs!$B$8)+(1-H$16)*(-Inputs!$B$4*Inputs!$B$8)</f>
        <v>10</v>
      </c>
    </row>
    <row r="23" customFormat="false" ht="15" hidden="false" customHeight="false" outlineLevel="0" collapsed="false">
      <c r="A23" s="8" t="n">
        <v>180</v>
      </c>
      <c r="B23" s="15" t="n">
        <f aca="false">B$16*((Inputs!$B$5-Inputs!$B$4)*(Inputs!$B$6-$A23)-Inputs!$B$5*Inputs!$B$8)+(1-B$16)*(-Inputs!$B$4*Inputs!$B$8)</f>
        <v>-26</v>
      </c>
      <c r="C23" s="15" t="n">
        <f aca="false">C$16*((Inputs!$B$5-Inputs!$B$4)*(Inputs!$B$6-$A23)-Inputs!$B$5*Inputs!$B$8)+(1-C$16)*(-Inputs!$B$4*Inputs!$B$8)</f>
        <v>-24</v>
      </c>
      <c r="D23" s="15" t="n">
        <f aca="false">D$16*((Inputs!$B$5-Inputs!$B$4)*(Inputs!$B$6-$A23)-Inputs!$B$5*Inputs!$B$8)+(1-D$16)*(-Inputs!$B$4*Inputs!$B$8)</f>
        <v>-22</v>
      </c>
      <c r="E23" s="15" t="n">
        <f aca="false">E$16*((Inputs!$B$5-Inputs!$B$4)*(Inputs!$B$6-$A23)-Inputs!$B$5*Inputs!$B$8)+(1-E$16)*(-Inputs!$B$4*Inputs!$B$8)</f>
        <v>-20</v>
      </c>
      <c r="F23" s="15" t="n">
        <f aca="false">F$16*((Inputs!$B$5-Inputs!$B$4)*(Inputs!$B$6-$A23)-Inputs!$B$5*Inputs!$B$8)+(1-F$16)*(-Inputs!$B$4*Inputs!$B$8)</f>
        <v>-18</v>
      </c>
      <c r="G23" s="15" t="n">
        <f aca="false">G$16*((Inputs!$B$5-Inputs!$B$4)*(Inputs!$B$6-$A23)-Inputs!$B$5*Inputs!$B$8)+(1-G$16)*(-Inputs!$B$4*Inputs!$B$8)</f>
        <v>-14</v>
      </c>
      <c r="H23" s="15" t="n">
        <f aca="false">H$16*((Inputs!$B$5-Inputs!$B$4)*(Inputs!$B$6-$A23)-Inputs!$B$5*Inputs!$B$8)+(1-H$16)*(-Inputs!$B$4*Inputs!$B$8)</f>
        <v>-10</v>
      </c>
    </row>
    <row r="24" customFormat="false" ht="15" hidden="false" customHeight="false" outlineLevel="0" collapsed="false">
      <c r="A24" s="8" t="n">
        <v>190</v>
      </c>
      <c r="B24" s="15" t="n">
        <f aca="false">B$16*((Inputs!$B$5-Inputs!$B$4)*(Inputs!$B$6-$A24)-Inputs!$B$5*Inputs!$B$8)+(1-B$16)*(-Inputs!$B$4*Inputs!$B$8)</f>
        <v>-30</v>
      </c>
      <c r="C24" s="15" t="n">
        <f aca="false">C$16*((Inputs!$B$5-Inputs!$B$4)*(Inputs!$B$6-$A24)-Inputs!$B$5*Inputs!$B$8)+(1-C$16)*(-Inputs!$B$4*Inputs!$B$8)</f>
        <v>-30</v>
      </c>
      <c r="D24" s="15" t="n">
        <f aca="false">D$16*((Inputs!$B$5-Inputs!$B$4)*(Inputs!$B$6-$A24)-Inputs!$B$5*Inputs!$B$8)+(1-D$16)*(-Inputs!$B$4*Inputs!$B$8)</f>
        <v>-30</v>
      </c>
      <c r="E24" s="15" t="n">
        <f aca="false">E$16*((Inputs!$B$5-Inputs!$B$4)*(Inputs!$B$6-$A24)-Inputs!$B$5*Inputs!$B$8)+(1-E$16)*(-Inputs!$B$4*Inputs!$B$8)</f>
        <v>-30</v>
      </c>
      <c r="F24" s="15" t="n">
        <f aca="false">F$16*((Inputs!$B$5-Inputs!$B$4)*(Inputs!$B$6-$A24)-Inputs!$B$5*Inputs!$B$8)+(1-F$16)*(-Inputs!$B$4*Inputs!$B$8)</f>
        <v>-30</v>
      </c>
      <c r="G24" s="15" t="n">
        <f aca="false">G$16*((Inputs!$B$5-Inputs!$B$4)*(Inputs!$B$6-$A24)-Inputs!$B$5*Inputs!$B$8)+(1-G$16)*(-Inputs!$B$4*Inputs!$B$8)</f>
        <v>-30</v>
      </c>
      <c r="H24" s="15" t="n">
        <f aca="false">H$16*((Inputs!$B$5-Inputs!$B$4)*(Inputs!$B$6-$A24)-Inputs!$B$5*Inputs!$B$8)+(1-H$16)*(-Inputs!$B$4*Inputs!$B$8)</f>
        <v>-30</v>
      </c>
    </row>
    <row r="27" customFormat="false" ht="15" hidden="false" customHeight="false" outlineLevel="0" collapsed="false">
      <c r="A27" s="16" t="s">
        <v>155</v>
      </c>
    </row>
    <row r="28" customFormat="false" ht="15" hidden="false" customHeight="false" outlineLevel="0" collapsed="false">
      <c r="A28" s="4" t="s">
        <v>156</v>
      </c>
      <c r="B28" s="19" t="n">
        <v>130</v>
      </c>
      <c r="C28" s="19" t="n">
        <v>140</v>
      </c>
      <c r="D28" s="19" t="n">
        <v>150</v>
      </c>
      <c r="E28" s="19" t="n">
        <v>160</v>
      </c>
      <c r="F28" s="19" t="n">
        <v>170</v>
      </c>
    </row>
    <row r="29" customFormat="false" ht="15" hidden="false" customHeight="false" outlineLevel="0" collapsed="false">
      <c r="A29" s="8" t="n">
        <v>5</v>
      </c>
      <c r="B29" s="21" t="n">
        <f aca="false">IF(((Inputs!$B$5-Inputs!$B$4)*(Inputs!$B$6-B$28)-Inputs!$B$5*$A29)&lt;=0,"never",(Inputs!$B$4*$A29)/(((Inputs!$B$5-Inputs!$B$4)*(Inputs!$B$6-B$28)-Inputs!$B$5*$A29)+(Inputs!$B$4*$A29)))</f>
        <v>0.115384615384615</v>
      </c>
      <c r="C29" s="21" t="n">
        <f aca="false">IF(((Inputs!$B$5-Inputs!$B$4)*(Inputs!$B$6-C$28)-Inputs!$B$5*$A29)&lt;=0,"never",(Inputs!$B$4*$A29)/(((Inputs!$B$5-Inputs!$B$4)*(Inputs!$B$6-C$28)-Inputs!$B$5*$A29)+(Inputs!$B$4*$A29)))</f>
        <v>0.136363636363636</v>
      </c>
      <c r="D29" s="21" t="n">
        <f aca="false">IF(((Inputs!$B$5-Inputs!$B$4)*(Inputs!$B$6-D$28)-Inputs!$B$5*$A29)&lt;=0,"never",(Inputs!$B$4*$A29)/(((Inputs!$B$5-Inputs!$B$4)*(Inputs!$B$6-D$28)-Inputs!$B$5*$A29)+(Inputs!$B$4*$A29)))</f>
        <v>0.166666666666667</v>
      </c>
      <c r="E29" s="21" t="n">
        <f aca="false">IF(((Inputs!$B$5-Inputs!$B$4)*(Inputs!$B$6-E$28)-Inputs!$B$5*$A29)&lt;=0,"never",(Inputs!$B$4*$A29)/(((Inputs!$B$5-Inputs!$B$4)*(Inputs!$B$6-E$28)-Inputs!$B$5*$A29)+(Inputs!$B$4*$A29)))</f>
        <v>0.214285714285714</v>
      </c>
      <c r="F29" s="21" t="n">
        <f aca="false">IF(((Inputs!$B$5-Inputs!$B$4)*(Inputs!$B$6-F$28)-Inputs!$B$5*$A29)&lt;=0,"never",(Inputs!$B$4*$A29)/(((Inputs!$B$5-Inputs!$B$4)*(Inputs!$B$6-F$28)-Inputs!$B$5*$A29)+(Inputs!$B$4*$A29)))</f>
        <v>0.3</v>
      </c>
    </row>
    <row r="30" customFormat="false" ht="15" hidden="false" customHeight="false" outlineLevel="0" collapsed="false">
      <c r="A30" s="8" t="n">
        <v>10</v>
      </c>
      <c r="B30" s="21" t="n">
        <f aca="false">IF(((Inputs!$B$5-Inputs!$B$4)*(Inputs!$B$6-B$28)-Inputs!$B$5*$A30)&lt;=0,"never",(Inputs!$B$4*$A30)/(((Inputs!$B$5-Inputs!$B$4)*(Inputs!$B$6-B$28)-Inputs!$B$5*$A30)+(Inputs!$B$4*$A30)))</f>
        <v>0.25</v>
      </c>
      <c r="C30" s="21" t="n">
        <f aca="false">IF(((Inputs!$B$5-Inputs!$B$4)*(Inputs!$B$6-C$28)-Inputs!$B$5*$A30)&lt;=0,"never",(Inputs!$B$4*$A30)/(((Inputs!$B$5-Inputs!$B$4)*(Inputs!$B$6-C$28)-Inputs!$B$5*$A30)+(Inputs!$B$4*$A30)))</f>
        <v>0.3</v>
      </c>
      <c r="D30" s="21" t="n">
        <f aca="false">IF(((Inputs!$B$5-Inputs!$B$4)*(Inputs!$B$6-D$28)-Inputs!$B$5*$A30)&lt;=0,"never",(Inputs!$B$4*$A30)/(((Inputs!$B$5-Inputs!$B$4)*(Inputs!$B$6-D$28)-Inputs!$B$5*$A30)+(Inputs!$B$4*$A30)))</f>
        <v>0.375</v>
      </c>
      <c r="E30" s="21" t="n">
        <f aca="false">IF(((Inputs!$B$5-Inputs!$B$4)*(Inputs!$B$6-E$28)-Inputs!$B$5*$A30)&lt;=0,"never",(Inputs!$B$4*$A30)/(((Inputs!$B$5-Inputs!$B$4)*(Inputs!$B$6-E$28)-Inputs!$B$5*$A30)+(Inputs!$B$4*$A30)))</f>
        <v>0.5</v>
      </c>
      <c r="F30" s="21" t="n">
        <f aca="false">IF(((Inputs!$B$5-Inputs!$B$4)*(Inputs!$B$6-F$28)-Inputs!$B$5*$A30)&lt;=0,"never",(Inputs!$B$4*$A30)/(((Inputs!$B$5-Inputs!$B$4)*(Inputs!$B$6-F$28)-Inputs!$B$5*$A30)+(Inputs!$B$4*$A30)))</f>
        <v>0.75</v>
      </c>
    </row>
    <row r="31" customFormat="false" ht="15" hidden="false" customHeight="false" outlineLevel="0" collapsed="false">
      <c r="A31" s="8" t="n">
        <v>15</v>
      </c>
      <c r="B31" s="21" t="n">
        <f aca="false">IF(((Inputs!$B$5-Inputs!$B$4)*(Inputs!$B$6-B$28)-Inputs!$B$5*$A31)&lt;=0,"never",(Inputs!$B$4*$A31)/(((Inputs!$B$5-Inputs!$B$4)*(Inputs!$B$6-B$28)-Inputs!$B$5*$A31)+(Inputs!$B$4*$A31)))</f>
        <v>0.409090909090909</v>
      </c>
      <c r="C31" s="21" t="n">
        <f aca="false">IF(((Inputs!$B$5-Inputs!$B$4)*(Inputs!$B$6-C$28)-Inputs!$B$5*$A31)&lt;=0,"never",(Inputs!$B$4*$A31)/(((Inputs!$B$5-Inputs!$B$4)*(Inputs!$B$6-C$28)-Inputs!$B$5*$A31)+(Inputs!$B$4*$A31)))</f>
        <v>0.5</v>
      </c>
      <c r="D31" s="21" t="n">
        <f aca="false">IF(((Inputs!$B$5-Inputs!$B$4)*(Inputs!$B$6-D$28)-Inputs!$B$5*$A31)&lt;=0,"never",(Inputs!$B$4*$A31)/(((Inputs!$B$5-Inputs!$B$4)*(Inputs!$B$6-D$28)-Inputs!$B$5*$A31)+(Inputs!$B$4*$A31)))</f>
        <v>0.642857142857143</v>
      </c>
      <c r="E31" s="21" t="n">
        <f aca="false">IF(((Inputs!$B$5-Inputs!$B$4)*(Inputs!$B$6-E$28)-Inputs!$B$5*$A31)&lt;=0,"never",(Inputs!$B$4*$A31)/(((Inputs!$B$5-Inputs!$B$4)*(Inputs!$B$6-E$28)-Inputs!$B$5*$A31)+(Inputs!$B$4*$A31)))</f>
        <v>0.9</v>
      </c>
      <c r="F31" s="21" t="str">
        <f aca="false">IF(((Inputs!$B$5-Inputs!$B$4)*(Inputs!$B$6-F$28)-Inputs!$B$5*$A31)&lt;=0,"never",(Inputs!$B$4*$A31)/(((Inputs!$B$5-Inputs!$B$4)*(Inputs!$B$6-F$28)-Inputs!$B$5*$A31)+(Inputs!$B$4*$A31)))</f>
        <v>never</v>
      </c>
    </row>
    <row r="32" customFormat="false" ht="15" hidden="false" customHeight="false" outlineLevel="0" collapsed="false">
      <c r="A32" s="8" t="n">
        <v>20</v>
      </c>
      <c r="B32" s="21" t="n">
        <f aca="false">IF(((Inputs!$B$5-Inputs!$B$4)*(Inputs!$B$6-B$28)-Inputs!$B$5*$A32)&lt;=0,"never",(Inputs!$B$4*$A32)/(((Inputs!$B$5-Inputs!$B$4)*(Inputs!$B$6-B$28)-Inputs!$B$5*$A32)+(Inputs!$B$4*$A32)))</f>
        <v>0.6</v>
      </c>
      <c r="C32" s="21" t="n">
        <f aca="false">IF(((Inputs!$B$5-Inputs!$B$4)*(Inputs!$B$6-C$28)-Inputs!$B$5*$A32)&lt;=0,"never",(Inputs!$B$4*$A32)/(((Inputs!$B$5-Inputs!$B$4)*(Inputs!$B$6-C$28)-Inputs!$B$5*$A32)+(Inputs!$B$4*$A32)))</f>
        <v>0.75</v>
      </c>
      <c r="D32" s="21" t="str">
        <f aca="false">IF(((Inputs!$B$5-Inputs!$B$4)*(Inputs!$B$6-D$28)-Inputs!$B$5*$A32)&lt;=0,"never",(Inputs!$B$4*$A32)/(((Inputs!$B$5-Inputs!$B$4)*(Inputs!$B$6-D$28)-Inputs!$B$5*$A32)+(Inputs!$B$4*$A32)))</f>
        <v>never</v>
      </c>
      <c r="E32" s="21" t="str">
        <f aca="false">IF(((Inputs!$B$5-Inputs!$B$4)*(Inputs!$B$6-E$28)-Inputs!$B$5*$A32)&lt;=0,"never",(Inputs!$B$4*$A32)/(((Inputs!$B$5-Inputs!$B$4)*(Inputs!$B$6-E$28)-Inputs!$B$5*$A32)+(Inputs!$B$4*$A32)))</f>
        <v>never</v>
      </c>
      <c r="F32" s="21" t="str">
        <f aca="false">IF(((Inputs!$B$5-Inputs!$B$4)*(Inputs!$B$6-F$28)-Inputs!$B$5*$A32)&lt;=0,"never",(Inputs!$B$4*$A32)/(((Inputs!$B$5-Inputs!$B$4)*(Inputs!$B$6-F$28)-Inputs!$B$5*$A32)+(Inputs!$B$4*$A32)))</f>
        <v>never</v>
      </c>
    </row>
    <row r="35" customFormat="false" ht="15" hidden="false" customHeight="false" outlineLevel="0" collapsed="false">
      <c r="A35" s="16" t="s">
        <v>157</v>
      </c>
    </row>
    <row r="36" customFormat="false" ht="15" hidden="false" customHeight="false" outlineLevel="0" collapsed="false">
      <c r="A36" s="4" t="s">
        <v>158</v>
      </c>
      <c r="B36" s="20" t="n">
        <v>0.3</v>
      </c>
      <c r="C36" s="20" t="n">
        <v>0.4</v>
      </c>
      <c r="D36" s="20" t="n">
        <v>0.5</v>
      </c>
      <c r="E36" s="20" t="n">
        <v>0.6</v>
      </c>
      <c r="F36" s="20" t="n">
        <v>0.8</v>
      </c>
    </row>
    <row r="37" customFormat="false" ht="15" hidden="false" customHeight="false" outlineLevel="0" collapsed="false">
      <c r="A37" s="11" t="n">
        <v>0.05</v>
      </c>
      <c r="B37" s="12" t="n">
        <f aca="false">Inputs!$B$11*$A37*(B$36*Inputs!$B$28+(1-B$36)*Inputs!$B$29)*Inputs!$B$10</f>
        <v>-1299</v>
      </c>
      <c r="C37" s="12" t="n">
        <f aca="false">Inputs!$B$11*$A37*(C$36*Inputs!$B$28+(1-C$36)*Inputs!$B$29)*Inputs!$B$10</f>
        <v>433</v>
      </c>
      <c r="D37" s="12" t="n">
        <f aca="false">Inputs!$B$11*$A37*(D$36*Inputs!$B$28+(1-D$36)*Inputs!$B$29)*Inputs!$B$10</f>
        <v>2165</v>
      </c>
      <c r="E37" s="12" t="n">
        <f aca="false">Inputs!$B$11*$A37*(E$36*Inputs!$B$28+(1-E$36)*Inputs!$B$29)*Inputs!$B$10</f>
        <v>3897</v>
      </c>
      <c r="F37" s="12" t="n">
        <f aca="false">Inputs!$B$11*$A37*(F$36*Inputs!$B$28+(1-F$36)*Inputs!$B$29)*Inputs!$B$10</f>
        <v>7361</v>
      </c>
    </row>
    <row r="38" customFormat="false" ht="15" hidden="false" customHeight="false" outlineLevel="0" collapsed="false">
      <c r="A38" s="11" t="n">
        <v>0.1</v>
      </c>
      <c r="B38" s="12" t="n">
        <f aca="false">Inputs!$B$11*$A38*(B$36*Inputs!$B$28+(1-B$36)*Inputs!$B$29)*Inputs!$B$10</f>
        <v>-2598</v>
      </c>
      <c r="C38" s="12" t="n">
        <f aca="false">Inputs!$B$11*$A38*(C$36*Inputs!$B$28+(1-C$36)*Inputs!$B$29)*Inputs!$B$10</f>
        <v>866</v>
      </c>
      <c r="D38" s="12" t="n">
        <f aca="false">Inputs!$B$11*$A38*(D$36*Inputs!$B$28+(1-D$36)*Inputs!$B$29)*Inputs!$B$10</f>
        <v>4330</v>
      </c>
      <c r="E38" s="12" t="n">
        <f aca="false">Inputs!$B$11*$A38*(E$36*Inputs!$B$28+(1-E$36)*Inputs!$B$29)*Inputs!$B$10</f>
        <v>7794</v>
      </c>
      <c r="F38" s="12" t="n">
        <f aca="false">Inputs!$B$11*$A38*(F$36*Inputs!$B$28+(1-F$36)*Inputs!$B$29)*Inputs!$B$10</f>
        <v>14722</v>
      </c>
    </row>
    <row r="39" customFormat="false" ht="15" hidden="false" customHeight="false" outlineLevel="0" collapsed="false">
      <c r="A39" s="11" t="n">
        <v>0.15</v>
      </c>
      <c r="B39" s="12" t="n">
        <f aca="false">Inputs!$B$11*$A39*(B$36*Inputs!$B$28+(1-B$36)*Inputs!$B$29)*Inputs!$B$10</f>
        <v>-3897</v>
      </c>
      <c r="C39" s="12" t="n">
        <f aca="false">Inputs!$B$11*$A39*(C$36*Inputs!$B$28+(1-C$36)*Inputs!$B$29)*Inputs!$B$10</f>
        <v>1299</v>
      </c>
      <c r="D39" s="12" t="n">
        <f aca="false">Inputs!$B$11*$A39*(D$36*Inputs!$B$28+(1-D$36)*Inputs!$B$29)*Inputs!$B$10</f>
        <v>6495</v>
      </c>
      <c r="E39" s="12" t="n">
        <f aca="false">Inputs!$B$11*$A39*(E$36*Inputs!$B$28+(1-E$36)*Inputs!$B$29)*Inputs!$B$10</f>
        <v>11691</v>
      </c>
      <c r="F39" s="12" t="n">
        <f aca="false">Inputs!$B$11*$A39*(F$36*Inputs!$B$28+(1-F$36)*Inputs!$B$29)*Inputs!$B$10</f>
        <v>22083</v>
      </c>
    </row>
    <row r="40" customFormat="false" ht="15" hidden="false" customHeight="false" outlineLevel="0" collapsed="false">
      <c r="A40" s="11" t="n">
        <v>0.2</v>
      </c>
      <c r="B40" s="12" t="n">
        <f aca="false">Inputs!$B$11*$A40*(B$36*Inputs!$B$28+(1-B$36)*Inputs!$B$29)*Inputs!$B$10</f>
        <v>-5196</v>
      </c>
      <c r="C40" s="12" t="n">
        <f aca="false">Inputs!$B$11*$A40*(C$36*Inputs!$B$28+(1-C$36)*Inputs!$B$29)*Inputs!$B$10</f>
        <v>1732</v>
      </c>
      <c r="D40" s="12" t="n">
        <f aca="false">Inputs!$B$11*$A40*(D$36*Inputs!$B$28+(1-D$36)*Inputs!$B$29)*Inputs!$B$10</f>
        <v>8660</v>
      </c>
      <c r="E40" s="12" t="n">
        <f aca="false">Inputs!$B$11*$A40*(E$36*Inputs!$B$28+(1-E$36)*Inputs!$B$29)*Inputs!$B$10</f>
        <v>15588</v>
      </c>
      <c r="F40" s="12" t="n">
        <f aca="false">Inputs!$B$11*$A40*(F$36*Inputs!$B$28+(1-F$36)*Inputs!$B$29)*Inputs!$B$10</f>
        <v>29444</v>
      </c>
    </row>
    <row r="41" customFormat="false" ht="15" hidden="false" customHeight="false" outlineLevel="0" collapsed="false">
      <c r="A41" s="11" t="n">
        <v>0.3</v>
      </c>
      <c r="B41" s="12" t="n">
        <f aca="false">Inputs!$B$11*$A41*(B$36*Inputs!$B$28+(1-B$36)*Inputs!$B$29)*Inputs!$B$10</f>
        <v>-7794</v>
      </c>
      <c r="C41" s="12" t="n">
        <f aca="false">Inputs!$B$11*$A41*(C$36*Inputs!$B$28+(1-C$36)*Inputs!$B$29)*Inputs!$B$10</f>
        <v>2598</v>
      </c>
      <c r="D41" s="12" t="n">
        <f aca="false">Inputs!$B$11*$A41*(D$36*Inputs!$B$28+(1-D$36)*Inputs!$B$29)*Inputs!$B$10</f>
        <v>12990</v>
      </c>
      <c r="E41" s="12" t="n">
        <f aca="false">Inputs!$B$11*$A41*(E$36*Inputs!$B$28+(1-E$36)*Inputs!$B$29)*Inputs!$B$10</f>
        <v>23382</v>
      </c>
      <c r="F41" s="12" t="n">
        <f aca="false">Inputs!$B$11*$A41*(F$36*Inputs!$B$28+(1-F$36)*Inputs!$B$29)*Inputs!$B$10</f>
        <v>44166</v>
      </c>
    </row>
  </sheetData>
  <conditionalFormatting sqref="B5:G12">
    <cfRule type="cellIs" priority="2" operator="lessThan" aboveAverage="0" equalAverage="0" bottom="0" percent="0" rank="0" text="" dxfId="0">
      <formula>0</formula>
    </cfRule>
  </conditionalFormatting>
  <conditionalFormatting sqref="B17:H24">
    <cfRule type="cellIs" priority="3" operator="lessThan" aboveAverage="0" equalAverage="0" bottom="0" percent="0" rank="0" text="" dxfId="0">
      <formula>0</formula>
    </cfRule>
  </conditionalFormatting>
  <conditionalFormatting sqref="B37:F41">
    <cfRule type="cellIs" priority="4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3" t="s">
        <v>160</v>
      </c>
    </row>
    <row r="3" customFormat="false" ht="15" hidden="false" customHeight="false" outlineLevel="0" collapsed="false">
      <c r="A3" s="3" t="s">
        <v>161</v>
      </c>
      <c r="B3" s="22" t="n">
        <f aca="false">Inputs!B8</f>
        <v>10</v>
      </c>
    </row>
    <row r="4" customFormat="false" ht="15" hidden="false" customHeight="false" outlineLevel="0" collapsed="false">
      <c r="A4" s="3" t="s">
        <v>162</v>
      </c>
      <c r="B4" s="22" t="n">
        <f aca="false">Inputs!B9</f>
        <v>30</v>
      </c>
    </row>
    <row r="6" customFormat="false" ht="23.85" hidden="false" customHeight="false" outlineLevel="0" collapsed="false">
      <c r="A6" s="4" t="s">
        <v>163</v>
      </c>
      <c r="B6" s="5" t="s">
        <v>164</v>
      </c>
      <c r="C6" s="5" t="s">
        <v>165</v>
      </c>
      <c r="D6" s="5" t="s">
        <v>166</v>
      </c>
      <c r="E6" s="5" t="s">
        <v>167</v>
      </c>
      <c r="F6" s="5" t="s">
        <v>168</v>
      </c>
      <c r="G6" s="5" t="s">
        <v>169</v>
      </c>
      <c r="H6" s="5" t="s">
        <v>170</v>
      </c>
    </row>
    <row r="7" customFormat="false" ht="15" hidden="false" customHeight="false" outlineLevel="0" collapsed="false">
      <c r="A7" s="3" t="s">
        <v>171</v>
      </c>
      <c r="B7" s="8" t="n">
        <v>200</v>
      </c>
      <c r="C7" s="8" t="n">
        <v>150</v>
      </c>
      <c r="D7" s="12" t="n">
        <f aca="false">B7-C7</f>
        <v>50</v>
      </c>
      <c r="E7" s="12" t="n">
        <f aca="false">B7-$B$3</f>
        <v>190</v>
      </c>
      <c r="F7" s="12" t="n">
        <f aca="false">E7-C7</f>
        <v>40</v>
      </c>
      <c r="G7" s="3" t="str">
        <f aca="false">IF(F7&gt;=$B$4,"PASS","FAIL")</f>
        <v>PASS</v>
      </c>
      <c r="H7" s="3" t="str">
        <f aca="false">IF(G7="PASS","Yes","No: sold at menu price, outside the pass")</f>
        <v>Yes</v>
      </c>
    </row>
    <row r="8" customFormat="false" ht="15" hidden="false" customHeight="false" outlineLevel="0" collapsed="false">
      <c r="A8" s="3" t="s">
        <v>172</v>
      </c>
      <c r="B8" s="8" t="n">
        <v>180</v>
      </c>
      <c r="C8" s="8" t="n">
        <v>128</v>
      </c>
      <c r="D8" s="12" t="n">
        <f aca="false">B8-C8</f>
        <v>52</v>
      </c>
      <c r="E8" s="12" t="n">
        <f aca="false">B8-$B$3</f>
        <v>170</v>
      </c>
      <c r="F8" s="12" t="n">
        <f aca="false">E8-C8</f>
        <v>42</v>
      </c>
      <c r="G8" s="3" t="str">
        <f aca="false">IF(F8&gt;=$B$4,"PASS","FAIL")</f>
        <v>PASS</v>
      </c>
      <c r="H8" s="3" t="str">
        <f aca="false">IF(G8="PASS","Yes","No: sold at menu price, outside the pass")</f>
        <v>Yes</v>
      </c>
    </row>
    <row r="9" customFormat="false" ht="15" hidden="false" customHeight="false" outlineLevel="0" collapsed="false">
      <c r="A9" s="3" t="s">
        <v>173</v>
      </c>
      <c r="B9" s="8" t="n">
        <v>200</v>
      </c>
      <c r="C9" s="8" t="n">
        <v>155</v>
      </c>
      <c r="D9" s="12" t="n">
        <f aca="false">B9-C9</f>
        <v>45</v>
      </c>
      <c r="E9" s="12" t="n">
        <f aca="false">B9-$B$3</f>
        <v>190</v>
      </c>
      <c r="F9" s="12" t="n">
        <f aca="false">E9-C9</f>
        <v>35</v>
      </c>
      <c r="G9" s="3" t="str">
        <f aca="false">IF(F9&gt;=$B$4,"PASS","FAIL")</f>
        <v>PASS</v>
      </c>
      <c r="H9" s="3" t="str">
        <f aca="false">IF(G9="PASS","Yes","No: sold at menu price, outside the pass")</f>
        <v>Yes</v>
      </c>
    </row>
    <row r="10" customFormat="false" ht="15" hidden="false" customHeight="false" outlineLevel="0" collapsed="false">
      <c r="A10" s="3" t="s">
        <v>174</v>
      </c>
      <c r="B10" s="8" t="n">
        <v>250</v>
      </c>
      <c r="C10" s="8" t="n">
        <v>215</v>
      </c>
      <c r="D10" s="12" t="n">
        <f aca="false">B10-C10</f>
        <v>35</v>
      </c>
      <c r="E10" s="12" t="n">
        <f aca="false">B10-$B$3</f>
        <v>240</v>
      </c>
      <c r="F10" s="12" t="n">
        <f aca="false">E10-C10</f>
        <v>25</v>
      </c>
      <c r="G10" s="3" t="str">
        <f aca="false">IF(F10&gt;=$B$4,"PASS","FAIL")</f>
        <v>FAIL</v>
      </c>
      <c r="H10" s="3" t="str">
        <f aca="false">IF(G10="PASS","Yes","No: sold at menu price, outside the pass")</f>
        <v>No: sold at menu price, outside the pass</v>
      </c>
    </row>
    <row r="11" customFormat="false" ht="15" hidden="false" customHeight="false" outlineLevel="0" collapsed="false">
      <c r="A11" s="3" t="s">
        <v>175</v>
      </c>
      <c r="B11" s="8" t="n">
        <v>260</v>
      </c>
      <c r="C11" s="8" t="n">
        <v>205</v>
      </c>
      <c r="D11" s="12" t="n">
        <f aca="false">B11-C11</f>
        <v>55</v>
      </c>
      <c r="E11" s="12" t="n">
        <f aca="false">B11-$B$3</f>
        <v>250</v>
      </c>
      <c r="F11" s="12" t="n">
        <f aca="false">E11-C11</f>
        <v>45</v>
      </c>
      <c r="G11" s="3" t="str">
        <f aca="false">IF(F11&gt;=$B$4,"PASS","FAIL")</f>
        <v>PASS</v>
      </c>
      <c r="H11" s="3" t="str">
        <f aca="false">IF(G11="PASS","Yes","No: sold at menu price, outside the pass")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44"/>
    <col collapsed="false" customWidth="true" hidden="false" outlineLevel="0" max="3" min="3" style="0" width="26"/>
  </cols>
  <sheetData>
    <row r="1" customFormat="false" ht="17.35" hidden="false" customHeight="false" outlineLevel="0" collapsed="false">
      <c r="A1" s="1" t="s">
        <v>176</v>
      </c>
    </row>
    <row r="2" customFormat="false" ht="15" hidden="false" customHeight="false" outlineLevel="0" collapsed="false">
      <c r="A2" s="3" t="s">
        <v>177</v>
      </c>
    </row>
    <row r="4" customFormat="false" ht="15" hidden="false" customHeight="false" outlineLevel="0" collapsed="false">
      <c r="A4" s="3" t="s">
        <v>178</v>
      </c>
      <c r="B4" s="23" t="n">
        <v>1.5</v>
      </c>
    </row>
    <row r="5" customFormat="false" ht="15" hidden="false" customHeight="false" outlineLevel="0" collapsed="false">
      <c r="A5" s="3" t="s">
        <v>179</v>
      </c>
      <c r="B5" s="24" t="n">
        <v>0.5</v>
      </c>
    </row>
    <row r="6" customFormat="false" ht="15" hidden="false" customHeight="false" outlineLevel="0" collapsed="false">
      <c r="A6" s="3" t="s">
        <v>180</v>
      </c>
      <c r="B6" s="25" t="n">
        <f aca="false">B4*SQRT(1-B5)</f>
        <v>1.06066017177982</v>
      </c>
    </row>
    <row r="7" customFormat="false" ht="15" hidden="false" customHeight="false" outlineLevel="0" collapsed="false">
      <c r="A7" s="3" t="s">
        <v>181</v>
      </c>
      <c r="B7" s="26" t="n">
        <v>1.96</v>
      </c>
    </row>
    <row r="8" customFormat="false" ht="15" hidden="false" customHeight="false" outlineLevel="0" collapsed="false">
      <c r="A8" s="3" t="s">
        <v>182</v>
      </c>
      <c r="B8" s="26" t="n">
        <v>0.84</v>
      </c>
    </row>
    <row r="9" customFormat="false" ht="15" hidden="false" customHeight="false" outlineLevel="0" collapsed="false">
      <c r="A9" s="3" t="s">
        <v>183</v>
      </c>
      <c r="B9" s="24" t="n">
        <v>0.15</v>
      </c>
    </row>
    <row r="10" customFormat="false" ht="15" hidden="false" customHeight="false" outlineLevel="0" collapsed="false">
      <c r="A10" s="3" t="s">
        <v>184</v>
      </c>
      <c r="B10" s="24" t="n">
        <v>0.5</v>
      </c>
    </row>
    <row r="11" customFormat="false" ht="15" hidden="false" customHeight="false" outlineLevel="0" collapsed="false">
      <c r="A11" s="3" t="s">
        <v>185</v>
      </c>
      <c r="B11" s="27" t="n">
        <f aca="false">Inputs!B24</f>
        <v>2</v>
      </c>
    </row>
    <row r="12" customFormat="false" ht="15" hidden="false" customHeight="false" outlineLevel="0" collapsed="false">
      <c r="A12" s="3" t="s">
        <v>186</v>
      </c>
      <c r="B12" s="28" t="n">
        <f aca="false">B9*B10*B11</f>
        <v>0.15</v>
      </c>
    </row>
    <row r="13" customFormat="false" ht="15" hidden="false" customHeight="false" outlineLevel="0" collapsed="false">
      <c r="A13" s="3" t="s">
        <v>187</v>
      </c>
      <c r="B13" s="14" t="n">
        <f aca="false">2*((B7+B8)*B6/B12)^2</f>
        <v>784</v>
      </c>
    </row>
    <row r="14" customFormat="false" ht="15" hidden="false" customHeight="false" outlineLevel="0" collapsed="false">
      <c r="A14" s="3" t="s">
        <v>188</v>
      </c>
      <c r="B14" s="14" t="n">
        <f aca="false">2*B13</f>
        <v>1568</v>
      </c>
    </row>
    <row r="16" customFormat="false" ht="15" hidden="false" customHeight="false" outlineLevel="0" collapsed="false">
      <c r="A16" s="16" t="s">
        <v>189</v>
      </c>
    </row>
    <row r="17" customFormat="false" ht="23.85" hidden="false" customHeight="false" outlineLevel="0" collapsed="false">
      <c r="A17" s="4" t="s">
        <v>190</v>
      </c>
      <c r="B17" s="5" t="s">
        <v>191</v>
      </c>
      <c r="C17" s="5" t="s">
        <v>192</v>
      </c>
    </row>
    <row r="18" customFormat="false" ht="15" hidden="false" customHeight="false" outlineLevel="0" collapsed="false">
      <c r="A18" s="10" t="n">
        <v>500</v>
      </c>
      <c r="B18" s="28" t="n">
        <f aca="false">($B$7+$B$8)*$B$6*SQRT(2/A18)</f>
        <v>0.187829710109982</v>
      </c>
      <c r="C18" s="21" t="n">
        <f aca="false">B18/$B$12</f>
        <v>1.25219806739988</v>
      </c>
    </row>
    <row r="19" customFormat="false" ht="15" hidden="false" customHeight="false" outlineLevel="0" collapsed="false">
      <c r="A19" s="10" t="n">
        <v>1000</v>
      </c>
      <c r="B19" s="28" t="n">
        <f aca="false">($B$7+$B$8)*$B$6*SQRT(2/A19)</f>
        <v>0.132815661727072</v>
      </c>
      <c r="C19" s="21" t="n">
        <f aca="false">B19/$B$12</f>
        <v>0.885437744847146</v>
      </c>
    </row>
    <row r="20" customFormat="false" ht="15" hidden="false" customHeight="false" outlineLevel="0" collapsed="false">
      <c r="A20" s="10" t="n">
        <v>1500</v>
      </c>
      <c r="B20" s="28" t="n">
        <f aca="false">($B$7+$B$8)*$B$6*SQRT(2/A20)</f>
        <v>0.108443533693808</v>
      </c>
      <c r="C20" s="21" t="n">
        <f aca="false">B20/$B$12</f>
        <v>0.722956891292051</v>
      </c>
    </row>
    <row r="21" customFormat="false" ht="15" hidden="false" customHeight="false" outlineLevel="0" collapsed="false">
      <c r="A21" s="10" t="n">
        <v>2000</v>
      </c>
      <c r="B21" s="28" t="n">
        <f aca="false">($B$7+$B$8)*$B$6*SQRT(2/A21)</f>
        <v>0.0939148550549912</v>
      </c>
      <c r="C21" s="21" t="n">
        <f aca="false">B21/$B$12</f>
        <v>0.626099033699941</v>
      </c>
    </row>
    <row r="22" customFormat="false" ht="15" hidden="false" customHeight="false" outlineLevel="0" collapsed="false">
      <c r="A22" s="10" t="n">
        <v>3000</v>
      </c>
      <c r="B22" s="28" t="n">
        <f aca="false">($B$7+$B$8)*$B$6*SQRT(2/A22)</f>
        <v>0.0766811580507233</v>
      </c>
      <c r="C22" s="21" t="n">
        <f aca="false">B22/$B$12</f>
        <v>0.511207720338155</v>
      </c>
    </row>
    <row r="23" customFormat="false" ht="15" hidden="false" customHeight="false" outlineLevel="0" collapsed="false">
      <c r="A23" s="10" t="n">
        <v>5000</v>
      </c>
      <c r="B23" s="28" t="n">
        <f aca="false">($B$7+$B$8)*$B$6*SQRT(2/A23)</f>
        <v>0.05939696961967</v>
      </c>
      <c r="C23" s="21" t="n">
        <f aca="false">B23/$B$12</f>
        <v>0.395979797464467</v>
      </c>
    </row>
    <row r="25" customFormat="false" ht="15" hidden="false" customHeight="false" outlineLevel="0" collapsed="false">
      <c r="A25" s="3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24"/>
    <col collapsed="false" customWidth="true" hidden="false" outlineLevel="0" max="3" min="3" style="0" width="5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194</v>
      </c>
    </row>
    <row r="3" customFormat="false" ht="15" hidden="false" customHeight="false" outlineLevel="0" collapsed="false">
      <c r="A3" s="4" t="s">
        <v>195</v>
      </c>
      <c r="B3" s="5" t="s">
        <v>196</v>
      </c>
      <c r="C3" s="5" t="s">
        <v>197</v>
      </c>
      <c r="D3" s="5" t="s">
        <v>198</v>
      </c>
    </row>
    <row r="4" customFormat="false" ht="15" hidden="false" customHeight="false" outlineLevel="0" collapsed="false">
      <c r="A4" s="29" t="s">
        <v>199</v>
      </c>
      <c r="B4" s="29" t="s">
        <v>200</v>
      </c>
      <c r="C4" s="29" t="s">
        <v>201</v>
      </c>
      <c r="D4" s="29" t="s">
        <v>202</v>
      </c>
    </row>
    <row r="5" customFormat="false" ht="15" hidden="false" customHeight="false" outlineLevel="0" collapsed="false">
      <c r="A5" s="29" t="s">
        <v>203</v>
      </c>
      <c r="B5" s="29" t="s">
        <v>204</v>
      </c>
      <c r="C5" s="29" t="s">
        <v>205</v>
      </c>
      <c r="D5" s="29" t="s">
        <v>206</v>
      </c>
    </row>
    <row r="6" customFormat="false" ht="23.85" hidden="false" customHeight="false" outlineLevel="0" collapsed="false">
      <c r="A6" s="29" t="s">
        <v>207</v>
      </c>
      <c r="B6" s="29" t="s">
        <v>204</v>
      </c>
      <c r="C6" s="29" t="s">
        <v>208</v>
      </c>
      <c r="D6" s="29" t="s">
        <v>209</v>
      </c>
    </row>
    <row r="7" customFormat="false" ht="15" hidden="false" customHeight="false" outlineLevel="0" collapsed="false">
      <c r="A7" s="29" t="s">
        <v>210</v>
      </c>
      <c r="B7" s="29" t="s">
        <v>211</v>
      </c>
      <c r="C7" s="29" t="s">
        <v>212</v>
      </c>
      <c r="D7" s="29" t="s">
        <v>213</v>
      </c>
    </row>
    <row r="8" customFormat="false" ht="23.85" hidden="false" customHeight="false" outlineLevel="0" collapsed="false">
      <c r="A8" s="29" t="s">
        <v>214</v>
      </c>
      <c r="B8" s="29" t="s">
        <v>215</v>
      </c>
      <c r="C8" s="29" t="s">
        <v>216</v>
      </c>
      <c r="D8" s="29" t="s">
        <v>217</v>
      </c>
    </row>
    <row r="9" customFormat="false" ht="23.85" hidden="false" customHeight="false" outlineLevel="0" collapsed="false">
      <c r="A9" s="29" t="s">
        <v>218</v>
      </c>
      <c r="B9" s="29" t="s">
        <v>215</v>
      </c>
      <c r="C9" s="29" t="s">
        <v>219</v>
      </c>
      <c r="D9" s="29" t="s">
        <v>220</v>
      </c>
    </row>
    <row r="10" customFormat="false" ht="15" hidden="false" customHeight="false" outlineLevel="0" collapsed="false">
      <c r="A10" s="29" t="s">
        <v>221</v>
      </c>
      <c r="B10" s="30" t="s">
        <v>222</v>
      </c>
      <c r="C10" s="29" t="s">
        <v>223</v>
      </c>
      <c r="D10" s="29" t="s">
        <v>224</v>
      </c>
    </row>
    <row r="11" customFormat="false" ht="15" hidden="false" customHeight="false" outlineLevel="0" collapsed="false">
      <c r="A11" s="29" t="s">
        <v>225</v>
      </c>
      <c r="B11" s="30" t="s">
        <v>226</v>
      </c>
      <c r="C11" s="29" t="s">
        <v>227</v>
      </c>
      <c r="D11" s="29" t="s">
        <v>228</v>
      </c>
    </row>
    <row r="12" customFormat="false" ht="15" hidden="false" customHeight="false" outlineLevel="0" collapsed="false">
      <c r="A12" s="29" t="s">
        <v>229</v>
      </c>
      <c r="B12" s="30" t="s">
        <v>226</v>
      </c>
      <c r="C12" s="29" t="s">
        <v>230</v>
      </c>
      <c r="D12" s="29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2026-10-25T17:37:26Z</dcterms:created>
  <dc:creator>openpyxl</dc:creator>
  <dc:description/>
  <dc:language>en-US</dc:language>
  <cp:lastModifiedBy/>
  <dcterms:modified xsi:type="dcterms:W3CDTF">2026-10-25T17:37:26Z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